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A453D063-C823-4481-A738-633CEA20FCE1}" xr6:coauthVersionLast="47" xr6:coauthVersionMax="47" xr10:uidLastSave="{00000000-0000-0000-0000-000000000000}"/>
  <bookViews>
    <workbookView xWindow="240" yWindow="105" windowWidth="14805" windowHeight="8010" firstSheet="3" activeTab="3" xr2:uid="{00000000-000D-0000-FFFF-FFFF00000000}"/>
  </bookViews>
  <sheets>
    <sheet name="專案內容" sheetId="2" r:id="rId1"/>
    <sheet name="2026時程" sheetId="1" r:id="rId2"/>
    <sheet name="雲端租賃成本估算" sheetId="9" r:id="rId3"/>
    <sheet name="功能細項進度" sheetId="3" r:id="rId4"/>
    <sheet name="功能需求紀錄" sheetId="4" r:id="rId5"/>
    <sheet name="帳號規劃" sheetId="5" r:id="rId6"/>
    <sheet name="前台帳號權限討論" sheetId="6" r:id="rId7"/>
    <sheet name="支撐參數表" sheetId="7" r:id="rId8"/>
    <sheet name="各功能參數表" sheetId="8" r:id="rId9"/>
  </sheets>
  <definedNames>
    <definedName name="_xlnm._FilterDatabase" localSheetId="3" hidden="1">功能細項進度!$H$1:$H$109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tc={A11D4758-C295-4555-9F18-37743679FE1D}</author>
    <author>tc={2FD9F517-5707-4988-9557-AF26966C7B2F}</author>
    <author>tc={4AC5B07F-50C7-4B37-A35F-94F4203FD6AE}</author>
    <author>tc={F51A42FA-B153-41FE-B70F-A973D50E3A36}</author>
  </authors>
  <commentList>
    <comment ref="B2" authorId="0" shapeId="0" xr:uid="{A11D4758-C295-4555-9F18-37743679FE1D}">
      <text>
        <t>[Threaded comment]
Your version of Excel allows you to read this threaded comment; however, any edits to it will get removed if the file is opened in a newer version of Excel. Learn more: https://go.microsoft.com/fwlink/?linkid=870924
Comment:
    先用內部名稱吧
Reply:
    收到，先暫緩請行銷部處理命名事項。
Reply:
    感謝</t>
      </text>
    </comment>
    <comment ref="B3" authorId="1" shapeId="0" xr:uid="{2FD9F517-5707-4988-9557-AF26966C7B2F}">
      <text>
        <t xml:space="preserve">[Threaded comment]
Your version of Excel allows you to read this threaded comment; however, any edits to it will get removed if the file is opened in a newer version of Excel. Learn more: https://go.microsoft.com/fwlink/?linkid=870924
Comment:
    @Dave Tan (陳俊光) 請查看此產品專案， Yvonne是我們軟體產品PM，正在規劃dental slicer
Reply:
    所以Mac 版本會放棄嗎？
Reply:
    Web Slicer就是用瀏覽器打開，沒有Mac或Win的問題。
你是在問DS Slicer嗎? DS Slicer是品印處理，目前暫時沒有更新。
Reply:
    是的，我是在問這個我們的DS Slicer還會不會有Mac版本。
因為如果現在有了web base的Slicer. Mac 應該也可以直接用Webbase Slicer. 這樣子我就叫Eros，不要再測試DS Slicer Mac version
</t>
      </text>
    </comment>
    <comment ref="B9" authorId="2" shapeId="0" xr:uid="{4AC5B07F-50C7-4B37-A35F-94F4203FD6AE}">
      <text>
        <t>[Threaded comment]
Your version of Excel allows you to read this threaded comment; however, any edits to it will get removed if the file is opened in a newer version of Excel. Learn more: https://go.microsoft.com/fwlink/?linkid=870924
Comment:
    @Yvonne Su (蘇怡靜) 沒考慮公有雲 如AWS?
Reply:
    目前是規劃使用AWS，成本關鍵在上傳檔案流量。模型檔案不小，應該會是一筆成本。需要評估。
Reply:
    ok，可以的話可以給我一個試算，大概就好。</t>
      </text>
    </comment>
    <comment ref="B11" authorId="3" shapeId="0" xr:uid="{F51A42FA-B153-41FE-B70F-A973D50E3A36}">
      <text>
        <t>[Threaded comment]
Your version of Excel allows you to read this threaded comment; however, any edits to it will get removed if the file is opened in a newer version of Excel. Learn more: https://go.microsoft.com/fwlink/?linkid=870924
Comment:
    網域要討論，因為Dental一般不喜歡跟我們消費機混在一起，所以最好獨立申請一個網域，但後續管理問題需要討論一下。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tc={78EE68D1-B195-4F59-8E10-6E596D0B3E7A}</author>
    <author>tc={E7A635C7-3D1D-46F4-AC22-DD8F0819BB5E}</author>
  </authors>
  <commentList>
    <comment ref="B8" authorId="0" shapeId="0" xr:uid="{78EE68D1-B195-4F59-8E10-6E596D0B3E7A}">
      <text>
        <t>[Threaded comment]
Your version of Excel allows you to read this threaded comment; however, any edits to it will get removed if the file is opened in a newer version of Excel. Learn more: https://go.microsoft.com/fwlink/?linkid=870924
Comment:
    自動支撐這個風險最大，也是核心體驗，要追緊一點
Reply:
    下週會再寫出細項目，確認進度。
Reply:
    收到，可以在1-1更新給我</t>
      </text>
    </comment>
    <comment ref="B9" authorId="1" shapeId="0" xr:uid="{E7A635C7-3D1D-46F4-AC22-DD8F0819BB5E}">
      <text>
        <t>[Threaded comment]
Your version of Excel allows you to read this threaded comment; however, any edits to it will get removed if the file is opened in a newer version of Excel. Learn more: https://go.microsoft.com/fwlink/?linkid=870924
Comment:
    列印參數的後台管理，可能要討論，因為最後會是材料測試部 或 牙技師Eros在使用。
Reply:
    目前上半年本地運算版本是會直接帶入列印參數(使用者仍可自行調整)。下半年改成線上雲端運算後，後臺求(需有欄位、管理方式)，會再跟大家確認。
Reply:
    好的，這讓你追蹤，謝謝。</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tc={6475C696-3249-42D1-9330-1D30B81E554E}</author>
    <author>tc={76243F6E-8D4E-421D-A463-C4426D1D4141}</author>
    <author>tc={3990519A-1E78-40C9-8A15-11EF2AE6126E}</author>
    <author>tc={1BFE6441-DBA7-4A0D-8E19-7B54D0485EC6}</author>
  </authors>
  <commentList>
    <comment ref="E39" authorId="0" shapeId="0" xr:uid="{6475C696-3249-42D1-9330-1D30B81E554E}">
      <text>
        <t>[Threaded comment]
Your version of Excel allows you to read this threaded comment; however, any edits to it will get removed if the file is opened in a newer version of Excel. Learn more: https://go.microsoft.com/fwlink/?linkid=870924
Comment:
    自動支撐這個風險最大，也是核心體驗，要追緊一點
Reply:
    下週會再寫出細項目，確認進度。</t>
      </text>
    </comment>
    <comment ref="E43" authorId="1" shapeId="0" xr:uid="{76243F6E-8D4E-421D-A463-C4426D1D4141}">
      <text>
        <t>[Threaded comment]
Your version of Excel allows you to read this threaded comment; however, any edits to it will get removed if the file is opened in a newer version of Excel. Learn more: https://go.microsoft.com/fwlink/?linkid=870924
Comment:
    自動支撐這個風險最大，也是核心體驗，要追緊一點
Reply:
    下週會再寫出細項目，確認進度。</t>
      </text>
    </comment>
    <comment ref="E45" authorId="2" shapeId="0" xr:uid="{3990519A-1E78-40C9-8A15-11EF2AE6126E}">
      <text>
        <t>[Threaded comment]
Your version of Excel allows you to read this threaded comment; however, any edits to it will get removed if the file is opened in a newer version of Excel. Learn more: https://go.microsoft.com/fwlink/?linkid=870924
Comment:
    自動支撐這個風險最大，也是核心體驗，要追緊一點
Reply:
    下週會再寫出細項目，確認進度。</t>
      </text>
    </comment>
    <comment ref="D55" authorId="3" shapeId="0" xr:uid="{1BFE6441-DBA7-4A0D-8E19-7B54D0485EC6}">
      <text>
        <t>[Threaded comment]
Your version of Excel allows you to read this threaded comment; however, any edits to it will get removed if the file is opened in a newer version of Excel. Learn more: https://go.microsoft.com/fwlink/?linkid=870924
Comment:
    列印參數的後台管理，可能要討論，因為最後會是材料測試部 或 牙技師Eros在使用。
Reply:
    目前上半年本地運算版本是會直接帶入列印參數(使用者仍可自行調整)。下半年改成線上雲端運算後，後臺求(需有欄位、管理方式)，會再跟大家確認。</t>
      </text>
    </comment>
  </commentList>
</comments>
</file>

<file path=xl/sharedStrings.xml><?xml version="1.0" encoding="utf-8"?>
<sst xmlns="http://schemas.openxmlformats.org/spreadsheetml/2006/main" count="1161" uniqueCount="526">
  <si>
    <t>項目</t>
  </si>
  <si>
    <t>說明</t>
  </si>
  <si>
    <t>切片軟體名稱</t>
  </si>
  <si>
    <t>先使用內部名稱，暫緩4月中行銷部協助命名。</t>
  </si>
  <si>
    <t>功能</t>
  </si>
  <si>
    <t>-3D view
-自動方向校正
-自動Hollowing(中空處理)
-自動Drain Hole / Drilling(排液孔)
-Base / Raft / Build Plate Preparation(基底生成)
-Filling / Internal Structure(內部填充結構)
-自動長支撐
-列印參數
-機台選擇
-切片
-機台連線送印
-模式: 正畸模型
-模式: 手術導版
-模式: 咬合板/牙合墊
-模式: Temp C&amp;B (臨時牙冠/牙橋)
-帳號功能
-刪除口掃檔案不規則部分
-壓製文字</t>
  </si>
  <si>
    <t>路徑流程</t>
  </si>
  <si>
    <t>如右圖。</t>
  </si>
  <si>
    <t>帳號規格</t>
  </si>
  <si>
    <t>沿用PhrozenGo帳號規則，視為PhrozenGO擴充功能，增加線上切片功能、檔案管理功能。</t>
  </si>
  <si>
    <t>測試機網址</t>
  </si>
  <si>
    <t>https://dentalslice.onrender.com/#/</t>
  </si>
  <si>
    <t>正式機網址</t>
  </si>
  <si>
    <t>待補上</t>
  </si>
  <si>
    <t>上線規劃</t>
  </si>
  <si>
    <t>1. 上半年第一階段: 
- 4月中MVP上線， 單一模型(僅必要功能)。
- 6/29可收費第一版上線。 單一模型，基礎版(本地運算)。
2. 下半年第二階段: 
- 進階版(雲端主機運算，依流量分級數)。
- 時程待評估。</t>
  </si>
  <si>
    <t>主機</t>
  </si>
  <si>
    <t>1. 上半年第一階段: 公司現有主機。
2. 下半年第二階段: 評估流量後規劃。
之前Vance製作伺服器評估資料連結</t>
  </si>
  <si>
    <t>運算位置</t>
  </si>
  <si>
    <t>1. 上半年第一階段: 6/29上線， 單一模型，基礎版(本地運算)。
2. 下半年第二階段: 收集基礎版流量資訊後，評估雲端流量成本。修改程式後推出雲端版(雲端主機運算，依流量分級數，價格待訂)</t>
  </si>
  <si>
    <t>網域</t>
  </si>
  <si>
    <t>Max詢問Tony 此專案網域是否可放在圖庫網站下</t>
  </si>
  <si>
    <t>收費模式</t>
  </si>
  <si>
    <t>建議: 
1. 基礎版(本地運算)。
2. 進階版(雲端主機運算)，依流量分級數，各級數流量價格待訂。
3. 企業合作(客製化)。</t>
  </si>
  <si>
    <t>相關資料詢問紀錄</t>
  </si>
  <si>
    <t>牙科切片Eros溝通紀錄</t>
  </si>
  <si>
    <t>內容說明</t>
  </si>
  <si>
    <t>2026/1</t>
  </si>
  <si>
    <t>2026/2</t>
  </si>
  <si>
    <t>2026/3</t>
  </si>
  <si>
    <t>2026/4</t>
  </si>
  <si>
    <t>2026/5</t>
  </si>
  <si>
    <t>2026/6</t>
  </si>
  <si>
    <t>2026/7</t>
  </si>
  <si>
    <t>2026/8</t>
  </si>
  <si>
    <t>2026/9</t>
  </si>
  <si>
    <t>2026/10</t>
  </si>
  <si>
    <t>2026/11</t>
  </si>
  <si>
    <t>2026/12</t>
  </si>
  <si>
    <t>程式製作
本地運算
(MVP)</t>
  </si>
  <si>
    <t>3D view</t>
  </si>
  <si>
    <t>2025已完成功能</t>
  </si>
  <si>
    <t>4月中提供MVP
(單一模型)</t>
  </si>
  <si>
    <t>6/29上線
可收費第一版
(單一模型)</t>
  </si>
  <si>
    <t>擴大測試，包含實際列印。
1.  Eros (牙科使用者角度測試)
2. Tony (工程師測試)
3. Jenny Yang主管  (楊芝苓) - Eric/Gary下屬  (實際列印測試)</t>
  </si>
  <si>
    <t>程式上線必要調整</t>
  </si>
  <si>
    <t>收集流量資訊，以利後續雲端流量成本評估</t>
  </si>
  <si>
    <t>自動方向校正</t>
  </si>
  <si>
    <t>自動Hollowing(中空處理)</t>
  </si>
  <si>
    <t>1月調整完成</t>
  </si>
  <si>
    <t>自動Drain Hole / Drilling(排液孔)</t>
  </si>
  <si>
    <t>2月調整完成</t>
  </si>
  <si>
    <t>Base / Raft / Build Plate Preparation(基底生成)</t>
  </si>
  <si>
    <t>3月製作</t>
  </si>
  <si>
    <t>Filling / Internal Structure(內部填充結構)</t>
  </si>
  <si>
    <t>自動長支撐</t>
  </si>
  <si>
    <t>持續製作中</t>
  </si>
  <si>
    <t>列印參數</t>
  </si>
  <si>
    <t>機台選擇</t>
  </si>
  <si>
    <t>切片</t>
  </si>
  <si>
    <t>機台連線送印</t>
  </si>
  <si>
    <t>正畸模型</t>
  </si>
  <si>
    <t>待排液孔、中空完成</t>
  </si>
  <si>
    <t>手術導版</t>
  </si>
  <si>
    <t>待支撐完成</t>
  </si>
  <si>
    <t>咬合板/牙合墊</t>
  </si>
  <si>
    <t>Temp C&amp;B (臨時牙冠/牙橋)</t>
  </si>
  <si>
    <t>待中空、支撐完成</t>
  </si>
  <si>
    <t>測試</t>
  </si>
  <si>
    <t>程式製作
本地運算
(可收費版)</t>
  </si>
  <si>
    <t>手機RWD</t>
  </si>
  <si>
    <t>手機效能測試、規劃</t>
  </si>
  <si>
    <t>3月調整完成</t>
  </si>
  <si>
    <t>刪除口掃檔案不規則部分</t>
  </si>
  <si>
    <t>5月開工</t>
  </si>
  <si>
    <t>新增底座(3/2新增)</t>
  </si>
  <si>
    <t>預計5月製作</t>
  </si>
  <si>
    <t>壓製文字</t>
  </si>
  <si>
    <t>預計5月底完成(需有底座來放文字)</t>
  </si>
  <si>
    <t>支援專案檔</t>
  </si>
  <si>
    <t>Yvonne前期研究資料收集</t>
  </si>
  <si>
    <t>帳號功能</t>
  </si>
  <si>
    <t>Yvonne規劃討論</t>
  </si>
  <si>
    <t>3月初開工(待調整)</t>
  </si>
  <si>
    <t>預計4月完成(假資料)</t>
  </si>
  <si>
    <t>待帳號資料庫(Tony)完成後串接</t>
  </si>
  <si>
    <t>完整測試</t>
  </si>
  <si>
    <t>完整流程測試、包含試印</t>
  </si>
  <si>
    <t>5月中測試</t>
  </si>
  <si>
    <t>行銷部命名作業</t>
  </si>
  <si>
    <t>調研、發想、命名 (先暫緩處理)</t>
  </si>
  <si>
    <t>商業介入</t>
  </si>
  <si>
    <t>待確認介入時間、執行內容</t>
  </si>
  <si>
    <t>程式製作
雲端運算</t>
  </si>
  <si>
    <t>將本地運算調整成雲端運算</t>
  </si>
  <si>
    <r>
      <rPr>
        <sz val="12"/>
        <color rgb="FF000000"/>
        <rFont val="Aptos Narrow"/>
        <scheme val="minor"/>
      </rPr>
      <t>待評估所需時程，目前</t>
    </r>
    <r>
      <rPr>
        <b/>
        <sz val="12"/>
        <color rgb="FF000000"/>
        <rFont val="Aptos Narrow"/>
        <scheme val="minor"/>
      </rPr>
      <t>目標是年底上線雲端版</t>
    </r>
  </si>
  <si>
    <t>優化調整功能</t>
  </si>
  <si>
    <r>
      <rPr>
        <sz val="12"/>
        <color rgb="FF000000"/>
        <rFont val="Aptos Narrow"/>
        <scheme val="minor"/>
      </rPr>
      <t>依據測試回饋</t>
    </r>
    <r>
      <rPr>
        <sz val="11"/>
        <color rgb="FF000000"/>
        <rFont val="Aptos Narrow"/>
        <scheme val="minor"/>
      </rPr>
      <t>，調整優化功能</t>
    </r>
  </si>
  <si>
    <t>待評估項目、製作時間</t>
  </si>
  <si>
    <t>AWS雲端租賃成本估算</t>
  </si>
  <si>
    <t>計算研究紀錄</t>
  </si>
  <si>
    <t>切片規模</t>
  </si>
  <si>
    <t>月 job 數：500 人 × 300 job/人 = 150,000 jobs/月</t>
  </si>
  <si>
    <t>計算公式</t>
  </si>
  <si>
    <r>
      <rPr>
        <sz val="12"/>
        <color rgb="FF000000"/>
        <rFont val="Arial"/>
      </rPr>
      <t xml:space="preserve">Budget ≈ 87.71 x </t>
    </r>
    <r>
      <rPr>
        <b/>
        <sz val="12"/>
        <color rgb="FFE87331"/>
        <rFont val="Arial"/>
      </rPr>
      <t>EC2台數</t>
    </r>
    <r>
      <rPr>
        <sz val="12"/>
        <color rgb="FF000000"/>
        <rFont val="Arial"/>
      </rPr>
      <t xml:space="preserve"> + 2.65 + 0.00525 x (</t>
    </r>
    <r>
      <rPr>
        <b/>
        <sz val="12"/>
        <color rgb="FFE87331"/>
        <rFont val="Arial"/>
      </rPr>
      <t>上傳GB+下載GB</t>
    </r>
    <r>
      <rPr>
        <sz val="12"/>
        <color rgb="FF000000"/>
        <rFont val="Arial"/>
      </rPr>
      <t>)+ 0.1083 x (</t>
    </r>
    <r>
      <rPr>
        <b/>
        <sz val="12"/>
        <color rgb="FFE87331"/>
        <rFont val="Arial"/>
      </rPr>
      <t>下載GB</t>
    </r>
    <r>
      <rPr>
        <sz val="12"/>
        <color rgb="FF000000"/>
        <rFont val="Arial"/>
      </rPr>
      <t xml:space="preserve"> - 100優惠)</t>
    </r>
  </si>
  <si>
    <t>價格主要取決於下載GB數</t>
  </si>
  <si>
    <t>假設每人每月做300次一鍵處理+300次切片（各150的話差不多就/2）</t>
  </si>
  <si>
    <t>LS+機台(切片檔30mb)</t>
  </si>
  <si>
    <t>1,126.79 USD/月</t>
  </si>
  <si>
    <t>8k/16k機台（切片檔100mb)</t>
  </si>
  <si>
    <t>2,291.12 USD/月</t>
  </si>
  <si>
    <t>假設每人每月做300次一鍵處理+切片（上傳未處理模型，回傳切片檔，不回傳原模型，適用手機版？僅需瀏覽）</t>
  </si>
  <si>
    <t>LS+機台（切片檔30mb）</t>
  </si>
  <si>
    <t>603.16 USD/月</t>
  </si>
  <si>
    <t>8k/16k機台（切片檔100mb）</t>
  </si>
  <si>
    <t>1,767.49 USD/月</t>
  </si>
  <si>
    <t>備註</t>
  </si>
  <si>
    <r>
      <t>如果擔心尖峰時段算力不足，可以加一台EC2 m6i.large，大約+</t>
    </r>
    <r>
      <rPr>
        <sz val="12"/>
        <color theme="1"/>
        <rFont val="Arial"/>
      </rPr>
      <t>85 USD</t>
    </r>
  </si>
  <si>
    <t>內容說明 (主功能)</t>
  </si>
  <si>
    <t>子功能</t>
  </si>
  <si>
    <t>參數/細部功能</t>
  </si>
  <si>
    <t>功能備註</t>
  </si>
  <si>
    <t>進度</t>
  </si>
  <si>
    <t>進展</t>
  </si>
  <si>
    <t>2026/1進度紀錄</t>
  </si>
  <si>
    <t>HomeView — 場景區域</t>
  </si>
  <si>
    <t>View Cube (鏡頭控制)</t>
  </si>
  <si>
    <t>切換3D view視角 (上下左右等)</t>
  </si>
  <si>
    <t>Done</t>
  </si>
  <si>
    <t>載台</t>
  </si>
  <si>
    <t>1.  模型的放置區域 = 機台可列印範圍
2. 依據不同的機器支援的載台大小改變</t>
  </si>
  <si>
    <t>Vertical Slicer (模型截面檢視器)</t>
  </si>
  <si>
    <t>透過下上滑動檢視模型截斷面</t>
  </si>
  <si>
    <t>背景</t>
  </si>
  <si>
    <t>3D view背景</t>
  </si>
  <si>
    <t>Camera視角控制</t>
  </si>
  <si>
    <t>1.  滑鼠左鍵 - 旋轉
2.  滑鼠右鍵 - 位移 (上下左右)</t>
  </si>
  <si>
    <t>HomeView — 左側面板</t>
  </si>
  <si>
    <t>Header</t>
  </si>
  <si>
    <t xml:space="preserve">顯示專案名稱 </t>
  </si>
  <si>
    <t>尚無實際功能</t>
  </si>
  <si>
    <t>To do</t>
  </si>
  <si>
    <t>4月MVP未製作，不測試。</t>
  </si>
  <si>
    <t>Quick menu</t>
  </si>
  <si>
    <t>選單開關</t>
  </si>
  <si>
    <t>新增專案</t>
  </si>
  <si>
    <t>開啟專案</t>
  </si>
  <si>
    <t>儲存專案</t>
  </si>
  <si>
    <t>近期使用紀錄 (專案)</t>
  </si>
  <si>
    <t>Model list</t>
  </si>
  <si>
    <t>顯示上傳模型名稱，可點擊選擇</t>
  </si>
  <si>
    <t>Empty state</t>
  </si>
  <si>
    <t>1.  顯示「無模型」提示
2.  +add (上傳按鈕)</t>
  </si>
  <si>
    <t>按下 + add 上傳按鈕後，會顯示對話框，讓用戶可以選擇想要上傳的模型</t>
  </si>
  <si>
    <t>Footer menu</t>
  </si>
  <si>
    <t>Dashboard - 機台連線送印</t>
  </si>
  <si>
    <r>
      <rPr>
        <sz val="12"/>
        <color rgb="FF000000"/>
        <rFont val="Aptos Narrow"/>
        <scheme val="minor"/>
      </rPr>
      <t xml:space="preserve">為機台監控頁面的入口
第一版: 支援 </t>
    </r>
    <r>
      <rPr>
        <sz val="12"/>
        <color rgb="FFFF0000"/>
        <rFont val="Aptos Narrow"/>
        <scheme val="minor"/>
      </rPr>
      <t>偵測機台、連線機台</t>
    </r>
    <r>
      <rPr>
        <sz val="12"/>
        <color rgb="FF000000"/>
        <rFont val="Aptos Narrow"/>
        <scheme val="minor"/>
      </rPr>
      <t>、上傳、送印、暫停/終止/恢復列印、列印狀態</t>
    </r>
  </si>
  <si>
    <t>Support</t>
  </si>
  <si>
    <r>
      <rPr>
        <sz val="12"/>
        <color rgb="FF000000"/>
        <rFont val="Aptos Narrow"/>
        <scheme val="minor"/>
      </rPr>
      <t>切換至支撐模式的入口，待規劃支撐編輯畫面與流程
(</t>
    </r>
    <r>
      <rPr>
        <sz val="12"/>
        <color rgb="FFFF0000"/>
        <rFont val="Aptos Narrow"/>
        <scheme val="minor"/>
      </rPr>
      <t>確認功能的入口</t>
    </r>
    <r>
      <rPr>
        <sz val="12"/>
        <color rgb="FF000000"/>
        <rFont val="Aptos Narrow"/>
        <scheme val="minor"/>
      </rPr>
      <t>)</t>
    </r>
  </si>
  <si>
    <t>2026完成第一版支撐功能</t>
  </si>
  <si>
    <t xml:space="preserve">Settings </t>
  </si>
  <si>
    <t>設定入口，如存取檔案的預設位置，用戶的偏好設定等等，目前尚未規劃</t>
  </si>
  <si>
    <t>HomeView — 底部工具列</t>
  </si>
  <si>
    <t>匯入模型</t>
  </si>
  <si>
    <t>"+" add (上傳按鈕)</t>
  </si>
  <si>
    <r>
      <rPr>
        <sz val="12"/>
        <color rgb="FF000000"/>
        <rFont val="Aptos Narrow"/>
        <scheme val="minor"/>
      </rPr>
      <t>按下 + add 上傳按鈕後/</t>
    </r>
    <r>
      <rPr>
        <sz val="12"/>
        <color rgb="FFFF0000"/>
        <rFont val="Aptos Narrow"/>
        <scheme val="minor"/>
      </rPr>
      <t>或外部拖曳模型檔至網頁</t>
    </r>
    <r>
      <rPr>
        <sz val="12"/>
        <color rgb="FF000000"/>
        <rFont val="Aptos Narrow"/>
        <scheme val="minor"/>
      </rPr>
      <t>，會顯示對話框，讓用戶可以選擇想要上傳的模型</t>
    </r>
  </si>
  <si>
    <t>拖曳模式</t>
  </si>
  <si>
    <r>
      <rPr>
        <sz val="12"/>
        <color rgb="FF000000"/>
        <rFont val="Aptos Narrow"/>
        <scheme val="minor"/>
      </rPr>
      <t>切換到直接使用滑鼠拖曳模型
(支援</t>
    </r>
    <r>
      <rPr>
        <sz val="12"/>
        <color rgb="FFFF0000"/>
        <rFont val="Aptos Narrow"/>
        <scheme val="minor"/>
      </rPr>
      <t>前後</t>
    </r>
    <r>
      <rPr>
        <sz val="12"/>
        <color rgb="FF000000"/>
        <rFont val="Aptos Narrow"/>
        <scheme val="minor"/>
      </rPr>
      <t>左右移動)</t>
    </r>
  </si>
  <si>
    <t>旋轉 - 模型</t>
  </si>
  <si>
    <r>
      <rPr>
        <sz val="12"/>
        <color rgb="FF000000"/>
        <rFont val="Aptos Narrow"/>
        <scheme val="minor"/>
      </rPr>
      <t>支援Gizmo三軸旋轉</t>
    </r>
    <r>
      <rPr>
        <sz val="12"/>
        <color rgb="FFFF0000"/>
        <rFont val="Aptos Narrow"/>
        <scheme val="minor"/>
      </rPr>
      <t>(三軸的值須正確即時更新到右側面板)</t>
    </r>
  </si>
  <si>
    <t>位移 - 模型</t>
  </si>
  <si>
    <r>
      <rPr>
        <sz val="12"/>
        <color rgb="FF000000"/>
        <rFont val="Aptos Narrow"/>
        <scheme val="minor"/>
      </rPr>
      <t>支援Gizmo三軸移動</t>
    </r>
    <r>
      <rPr>
        <sz val="12"/>
        <color rgb="FFFF0000"/>
        <rFont val="Aptos Narrow"/>
        <scheme val="minor"/>
      </rPr>
      <t>(三軸的值須正確即時更新到右側面板)</t>
    </r>
  </si>
  <si>
    <t>縮放 - 模型</t>
  </si>
  <si>
    <r>
      <rPr>
        <sz val="12"/>
        <color rgb="FF000000"/>
        <rFont val="Aptos Narrow"/>
        <scheme val="minor"/>
      </rPr>
      <t>支援Gizmo三軸縮放(</t>
    </r>
    <r>
      <rPr>
        <sz val="12"/>
        <color rgb="FFFF0000"/>
        <rFont val="Aptos Narrow"/>
        <scheme val="minor"/>
      </rPr>
      <t>三軸的值須正確即時更新到右側面板)</t>
    </r>
  </si>
  <si>
    <t>打洞</t>
  </si>
  <si>
    <t>長度</t>
  </si>
  <si>
    <t>打洞器的長度</t>
  </si>
  <si>
    <t>大小</t>
  </si>
  <si>
    <t>打洞器的大小</t>
  </si>
  <si>
    <t>Edge</t>
  </si>
  <si>
    <t>打出來的孔洞長相，數字越高，
代表孔洞輪廓上長的點越多，就會長得越像圓形越平滑</t>
  </si>
  <si>
    <t>鏤空</t>
  </si>
  <si>
    <t>體素大小</t>
  </si>
  <si>
    <t>1.  用來鏤空的立方體大小
2.  當立方體越大，鏤空出來的內殼形就越粗糙、越不像模型的樣貌</t>
  </si>
  <si>
    <t>厚度</t>
  </si>
  <si>
    <t>鏤空出來的內殼厚度</t>
  </si>
  <si>
    <t>解析度</t>
  </si>
  <si>
    <t>模型檢視效果</t>
  </si>
  <si>
    <t>預設 (實體模型)</t>
  </si>
  <si>
    <t>Wireframe</t>
  </si>
  <si>
    <t>X-Ray</t>
  </si>
  <si>
    <t>一鍵處理</t>
  </si>
  <si>
    <t>支援下列四種應用模式</t>
  </si>
  <si>
    <t>依據所選擇的牙科應用模式
(正畸、手術導板、臨時牙冠牙橋、咬合板/牙合墊)
執行對應的自動化程序
(旋轉、鏤空、開孔、長支撐)</t>
  </si>
  <si>
    <t>正畸</t>
  </si>
  <si>
    <t>中空內部輪廓平滑化優化</t>
  </si>
  <si>
    <t xml:space="preserve">
1.  此優化的效果是讓鏤空後的內部輪廓視覺效果比較平整平滑</t>
  </si>
  <si>
    <t>開底</t>
  </si>
  <si>
    <t>1.  2025/1月/中完成 且驗收完畢</t>
  </si>
  <si>
    <t>1.  具Eros/Steven回饋，表示是有必要的，不能省略
常見的內部填充樣式則建議先以蜂巢狀來實作
2.  目前tommy正在將hollow挖出的空間留有填充結構</t>
  </si>
  <si>
    <t>手術導板</t>
  </si>
  <si>
    <t>支撐點</t>
  </si>
  <si>
    <t>1.  25%
2.  支撐碰撞跟分群的機制進行改寫與移植
3.  困難點:  需要花時間看懂和拆解Prusa樹狀支撐的程式架構去改寫、移植
4.  因應第三點，目前正在進行前後端分離測試
       4.1.  max試著將prusa console透過後端技術與工具在電腦運行起來
       4.2.  同時claude進行測試與統計將支撐透過網格跟支撐點的二種方式產生的資料量有多少，好評估採用何種方式進行開發提供給前端資料格式的機制
      4.3.  原先改寫prsua並編譯成wasm的做法先pending</t>
  </si>
  <si>
    <t>支撐身體</t>
  </si>
  <si>
    <t>支撐底部</t>
  </si>
  <si>
    <t>臨時牙冠牙橋</t>
  </si>
  <si>
    <t>模型或是支撐的底座，
待Tommy確認是否真的需要用到</t>
  </si>
  <si>
    <t>HomeView — 右側面板</t>
  </si>
  <si>
    <t xml:space="preserve"> Header</t>
  </si>
  <si>
    <t>頭像</t>
  </si>
  <si>
    <t>亮/暗色背景色切換（同步場景）</t>
  </si>
  <si>
    <t>語言選擇</t>
  </si>
  <si>
    <t>匯出按鈕</t>
  </si>
  <si>
    <t>應該是匯出專案</t>
  </si>
  <si>
    <t>Body</t>
  </si>
  <si>
    <t xml:space="preserve"> ModelEditor (模型編輯器)
模型被選取時</t>
  </si>
  <si>
    <t>位移
1.  手動設定X/Y/Z三軸數值進行位移 (mm)
2.  模型貼底
3.  模型置中  (放置於平台中心位置)
4.  復原 - 恢復到最一開始模型的位置</t>
  </si>
  <si>
    <t>旋轉 - 
1.  手動設定X/Y/Z三軸數值進行旋轉 (角度)
2.   正負45度三軸旋轉快捷按鈕
3.   選面貼底
4.   選面朝上
5.   復原 - 恢復到最一開始模型的角度</t>
  </si>
  <si>
    <t>縮放
1.  手動設定X/Y/Z三軸數值進行縮放
       1.1.   mm / 百分比輸入
2.   Scale to fit - 將模型縮放至平台可列印範圍的上限
3.   lock ratio - X/Y/Z三軸等比例/個別縮放
4.   復原 - 恢復到最一開始模型的大小</t>
  </si>
  <si>
    <t>鏡射
1.   依據X/Y/Z三軸生成對應鏡射的模型
2.   Keep original model - 保留原始模型不被更動，生成一個新的且鏡射後的模型</t>
  </si>
  <si>
    <t>列印參數
模型沒被選取時</t>
  </si>
  <si>
    <t>第一版: 所有參數都是包進網頁中進行存取</t>
  </si>
  <si>
    <t>參數匯入 (支援DS slicer格式)</t>
  </si>
  <si>
    <t>參數匯出  (支援DS slicer格式)</t>
  </si>
  <si>
    <t>列印解析度模式 (30/50/100um)</t>
  </si>
  <si>
    <t>列印速度模式 (Stable/Fast)</t>
  </si>
  <si>
    <t>通用層設定</t>
  </si>
  <si>
    <t>一般層設定</t>
  </si>
  <si>
    <t>底層設定</t>
  </si>
  <si>
    <t>進階設定</t>
  </si>
  <si>
    <t>一般層/底層抬升/回程二段式設定</t>
  </si>
  <si>
    <t>支撐參數</t>
  </si>
  <si>
    <t>支撐參數畫面</t>
  </si>
  <si>
    <t>Footer / SelectResin</t>
  </si>
  <si>
    <t>選擇樹脂（含牙科模式篩選）</t>
  </si>
  <si>
    <t>1.  可選不同牙齒應用模式 (ex: 正畸、手術導版..等)
2.  因應不同的模式、機種，列出可選廠牌對應的樹脂
3. 點選好樹脂後，會對應顯示正確的樹脂列印參數
4.  目前可支援的是Eros提供的所有合適廠牌樹脂 (上百種)</t>
  </si>
  <si>
    <t>Footer / SelectPrinter</t>
  </si>
  <si>
    <t>選擇機型並更新平台尺寸(7種機型)</t>
  </si>
  <si>
    <t>Sonic LS PLUS</t>
  </si>
  <si>
    <t>Sonic CS PLUS</t>
  </si>
  <si>
    <t>Sonic 4K 2022</t>
  </si>
  <si>
    <t>Sonic XL 4K 2022</t>
  </si>
  <si>
    <t>Sonic Mini 8K S</t>
  </si>
  <si>
    <t>Sonic Mighty Revo (14K)</t>
  </si>
  <si>
    <t>Footer / SlicerButton</t>
  </si>
  <si>
    <t>PRZ/ZIP</t>
  </si>
  <si>
    <t>下載Phrozen UDP Control Server</t>
  </si>
  <si>
    <t>1.   與機台連線的必備應用程式
2.  安裝此小工具才能讓機器跟前端UI互相溝通
3.  目前推出/支援的是電腦安裝檔 (.exe)
4.  支援windows/macOS平台設備</t>
  </si>
  <si>
    <t>機台連線</t>
  </si>
  <si>
    <t>1.   區域網路連線
2.   列出可連線的機台IP List供用戶選擇</t>
  </si>
  <si>
    <t>上傳檔案</t>
  </si>
  <si>
    <t>列印</t>
  </si>
  <si>
    <t>暫停列印</t>
  </si>
  <si>
    <t>終止列印</t>
  </si>
  <si>
    <t>恢復列印</t>
  </si>
  <si>
    <t>機器狀態</t>
  </si>
  <si>
    <t>閒置, 列印中, 暫停, 中止</t>
  </si>
  <si>
    <t>手機RWD網頁優化</t>
  </si>
  <si>
    <t>1. 手機介面優化。
2.因手機上未能連線送印，Dashboard目前未製作。</t>
  </si>
  <si>
    <t>In progress</t>
  </si>
  <si>
    <t>3月初開工</t>
  </si>
  <si>
    <t>預計4月完成</t>
  </si>
  <si>
    <t>預計4月底完成</t>
  </si>
  <si>
    <t>3月中開始測試</t>
  </si>
  <si>
    <t>調研、發想、命名(先暫緩處理)</t>
  </si>
  <si>
    <t>提供MVP使用</t>
  </si>
  <si>
    <t>命名定案</t>
  </si>
  <si>
    <t>DS Slicer 使用回饋</t>
  </si>
  <si>
    <t>訪問Eros</t>
  </si>
  <si>
    <r>
      <rPr>
        <sz val="12"/>
        <color rgb="FF000000"/>
        <rFont val="Aptos Narrow"/>
        <scheme val="minor"/>
      </rPr>
      <t>後續執行 方式</t>
    </r>
    <r>
      <rPr>
        <sz val="12"/>
        <color rgb="FFFFFFFF"/>
        <rFont val="Aptos Narrow"/>
        <scheme val="minor"/>
      </rPr>
      <t>04</t>
    </r>
  </si>
  <si>
    <t>好用功能</t>
  </si>
  <si>
    <t>1. 口齒掃描檔，可切齊邊緣，完成3D閉合檔案。
2. 長支撐好用。
3. 樹脂數據完善。</t>
  </si>
  <si>
    <t>功能已增加「刪除口掃檔案不規則部分」</t>
  </si>
  <si>
    <t>缺點</t>
  </si>
  <si>
    <t>1. 閃退、卡頓。
2. 切片速度慢。
3. 連線問題(斷線、連不上)</t>
  </si>
  <si>
    <t>須注意程式防呆機制、程式邏輯完整度。</t>
  </si>
  <si>
    <t>最想優化</t>
  </si>
  <si>
    <t>1. 帳號功能: 記錄過去列印資料(機器設定、樹脂設定、參數設定)，現在每次列印需要重新設定。
2. 避免使用USB Dongle，頻繁更換電腦使用時麻煩、USB被拔壞、多個軟體都有 Dongle時電腦usb槽不夠用。</t>
  </si>
  <si>
    <t>解法: 
1. 線上列印。
2. 避免使用USB Dongle，這一點需討論商業模式。</t>
  </si>
  <si>
    <t>牙科手機切片需求</t>
  </si>
  <si>
    <t>使用情境</t>
  </si>
  <si>
    <t>1.臨時需要變更物件與支撐設計
2.遠端支援與教學
3.外出不在電腦旁</t>
  </si>
  <si>
    <t>優點</t>
  </si>
  <si>
    <t>1.便利與機動性高
2.醫技溝通方便</t>
  </si>
  <si>
    <t>1.精細操作不便(支撐位置調整)
2.部分檔案過大，手機效能能否支撐運作
3.可視區域有限，容易漏看</t>
  </si>
  <si>
    <t xml:space="preserve">結論
</t>
  </si>
  <si>
    <t>不是必須功能，如果有會是產品亮點。</t>
  </si>
  <si>
    <t>效能解法</t>
  </si>
  <si>
    <t>1.效能考量，可限縮使用模組，僅符合效能的小模組可在手機切片。
2.警語提醒，效能考量請使用電腦操作。</t>
  </si>
  <si>
    <r>
      <rPr>
        <sz val="12"/>
        <color rgb="FF000000"/>
        <rFont val="Aptos Narrow"/>
        <scheme val="minor"/>
      </rPr>
      <t xml:space="preserve">目標: 讓切片軟體不單是工具，更是「雲端資產管理」與「硬體生態圈」的核心入口。
註: </t>
    </r>
    <r>
      <rPr>
        <b/>
        <sz val="12"/>
        <color rgb="FF000000"/>
        <rFont val="Aptos Narrow"/>
        <scheme val="minor"/>
      </rPr>
      <t>黑字</t>
    </r>
    <r>
      <rPr>
        <sz val="12"/>
        <color rgb="FF000000"/>
        <rFont val="Aptos Narrow"/>
        <scheme val="minor"/>
      </rPr>
      <t>為牙科2026年製作範圍。</t>
    </r>
    <r>
      <rPr>
        <b/>
        <sz val="12"/>
        <color rgb="FF808080"/>
        <rFont val="Aptos Narrow"/>
        <scheme val="minor"/>
      </rPr>
      <t>灰字</t>
    </r>
    <r>
      <rPr>
        <sz val="12"/>
        <color rgb="FF000000"/>
        <rFont val="Aptos Narrow"/>
        <scheme val="minor"/>
      </rPr>
      <t>為2027年以後製作範圍。</t>
    </r>
  </si>
  <si>
    <t>(討論中，未定案)</t>
  </si>
  <si>
    <t>用戶前台功能規劃</t>
  </si>
  <si>
    <t>後臺管理規劃</t>
  </si>
  <si>
    <t>目標 : 重點在於「多平台同步」與「資產累積」，讓用戶換了電腦也能立即工作。</t>
  </si>
  <si>
    <t>目標 : 後台不僅是管理用戶，更是產品營運與市場分析的中樞。</t>
  </si>
  <si>
    <t>一、 基礎帳戶功能</t>
  </si>
  <si>
    <t>一、用戶支援與管理</t>
  </si>
  <si>
    <t>功能說明</t>
  </si>
  <si>
    <t>細項說明</t>
  </si>
  <si>
    <t>牙科範疇</t>
  </si>
  <si>
    <t>完成時程</t>
  </si>
  <si>
    <t>1. 註冊/登入</t>
  </si>
  <si>
    <t>1.支援 Email 註冊，並整合第三方登入（Google, Apple ID, WeChat）。</t>
  </si>
  <si>
    <t>email</t>
  </si>
  <si>
    <t xml:space="preserve"> V</t>
  </si>
  <si>
    <t>1. 增刪查改操作</t>
  </si>
  <si>
    <t>1.查詢用戶資料、手動重設密碼（發送重設信）、修改 Email。
2.待了解管理者、使用者帳號在後台的呈現與管理。
3.待討論一個使用者帳號(牙技師)，是否會在多個牙醫診所管理者底下切片?</t>
  </si>
  <si>
    <t>新增帳號</t>
  </si>
  <si>
    <t>V</t>
  </si>
  <si>
    <t>?</t>
  </si>
  <si>
    <t>姓名</t>
  </si>
  <si>
    <t>刪除帳號</t>
  </si>
  <si>
    <t>查詢帳號</t>
  </si>
  <si>
    <t>合約頁面免責聲明</t>
  </si>
  <si>
    <t>2. 多裝置同步</t>
  </si>
  <si>
    <t>當用戶登入後，取得該帳號相關設定、列印紀錄。</t>
  </si>
  <si>
    <t>自訂機台參數</t>
  </si>
  <si>
    <t>修改帳號</t>
  </si>
  <si>
    <t>自訂樹脂/耗材參數</t>
  </si>
  <si>
    <t>2.權限與封禁</t>
  </si>
  <si>
    <t>針對惡意用戶（如濫用雲端資源）進行暫停或封鎖。</t>
  </si>
  <si>
    <t>封鎖帳號</t>
  </si>
  <si>
    <t>列印紀錄</t>
  </si>
  <si>
    <t>解鎖帳號</t>
  </si>
  <si>
    <t>購買紀錄(圖庫、耗材)</t>
  </si>
  <si>
    <t>X</t>
  </si>
  <si>
    <t>3.訂閱設定(?)</t>
  </si>
  <si>
    <t>1.客服需有權限手動延長用戶的 Pro 會員天數（作為客訴補償?）。
2.訂閱費用、優惠設定?</t>
  </si>
  <si>
    <t>延長會員天數</t>
  </si>
  <si>
    <t>耗材使用紀錄，待確認是否可以執行。</t>
  </si>
  <si>
    <t>訂閱費用、優惠設定?</t>
  </si>
  <si>
    <t>3. 離線模式</t>
  </si>
  <si>
    <t>需有離線模式嗎?技術可執行嗎?
-允許斷網時使用切片功能、暫存數據，待連網後才能送印。(連網後我們可以取得數據)
-切片大量運算功能在本地進行，儲存數據、送印雲端處理。</t>
  </si>
  <si>
    <t>4.支付功能</t>
  </si>
  <si>
    <t>付費帳號的訂閱支付</t>
  </si>
  <si>
    <t>串接第三方支付平台</t>
  </si>
  <si>
    <t>2027</t>
  </si>
  <si>
    <t>二、 雲端功能</t>
  </si>
  <si>
    <t>二、數據儀表板</t>
  </si>
  <si>
    <t>細項功能</t>
  </si>
  <si>
    <t>1. 儲存數據</t>
  </si>
  <si>
    <t>1.允許用戶上傳專案檔或已切片(待確認，檔案大)檔案（G-code），方便跨裝置列印。同時收集關鍵數據。
2.可儲存多組常用參數設定(包含機台、樹脂)。
3.檔案管理 : 分群組(診所&gt;醫生&gt;病人)管理檔案。
4.牙科身分標籤，對應不同前端顯示?</t>
  </si>
  <si>
    <t>專案檔，待研究技術可行性。如可行，預計6月完成。</t>
  </si>
  <si>
    <t>2026/?</t>
  </si>
  <si>
    <t>1.活躍度分析</t>
  </si>
  <si>
    <t>1.DAU (日活躍用戶)、MAU (月活躍用戶)。
2.平均停留時間。
3.最常使用功能。
4.最少使用功能。
5. .......</t>
  </si>
  <si>
    <t>切片檔</t>
  </si>
  <si>
    <t>機台參數設定(可與樹脂搭配成自訂義列印參數模組)，設定組數上限，收費?</t>
  </si>
  <si>
    <t>樹脂參數設定(可與機台搭配成自訂義列印參數模組)</t>
  </si>
  <si>
    <t>2. 遠端列印控制</t>
  </si>
  <si>
    <t>帳號需具備綁定機器、發送列印任務、監控列印進度的功能。</t>
  </si>
  <si>
    <t>綁定機器</t>
  </si>
  <si>
    <t>2. 硬體分佈圖</t>
  </si>
  <si>
    <t>統計目前所有活躍帳號中，哪一台印表機（未來可考慮包含競品）被加入最多？哪種樹脂被使用最頻繁？（這是切片軟體最有價值的數據）。</t>
  </si>
  <si>
    <t>發送列印</t>
  </si>
  <si>
    <t>監控機器(關係到硬體，鏡頭監控?其他監控方式?)</t>
  </si>
  <si>
    <t>中止列印</t>
  </si>
  <si>
    <t>3.列印檔案參數收集?</t>
  </si>
  <si>
    <t>待了解需收集欄位。報表呈現方式?導入aI分析。用戶行為分析。</t>
  </si>
  <si>
    <t>排程列印?機器忙碌時如何處理送印?</t>
  </si>
  <si>
    <t>3. 歷史紀錄</t>
  </si>
  <si>
    <t>1.記錄過去的列印參數與結果（成功/失敗標記），作為個人優化參考。
2.列印完成拍照記錄。</t>
  </si>
  <si>
    <t>列印檔案紀錄管理(僅可瀏覽?可刪除?)</t>
  </si>
  <si>
    <t>4. 失敗率監控(?)</t>
  </si>
  <si>
    <t>1.是否可建立回報機制?
2.後台需收集哪種參數或機型導致切片失敗或崩潰。</t>
  </si>
  <si>
    <t>紀錄列印「當時」的參數設定</t>
  </si>
  <si>
    <t>三、 其他平台連動功能</t>
  </si>
  <si>
    <t>三、須了解連動其他平台的後台需求</t>
  </si>
  <si>
    <t>1.圖庫推播下單，帳號連動Pixup</t>
  </si>
  <si>
    <t>可到Pixup進行瀏覽消費行為，待確認程式串接方式，直接外連到PIXUP?其他串接方式?</t>
  </si>
  <si>
    <t>推播圖檔</t>
  </si>
  <si>
    <t>口掃機?</t>
  </si>
  <si>
    <t>瀏覽圖庫</t>
  </si>
  <si>
    <t>設計軟體?</t>
  </si>
  <si>
    <t>下單買圖</t>
  </si>
  <si>
    <t>醫病系統?</t>
  </si>
  <si>
    <t>下單後一鍵列印</t>
  </si>
  <si>
    <t>2.監控機台，帳號連動Phrozengo</t>
  </si>
  <si>
    <t>Phrozengo目前角色為監控機台。這部分功能跟二、雲端功能 2.遠端列印控制，重覆到。待確認如何調整規劃。</t>
  </si>
  <si>
    <t>3.線上購物，帳號連動Shopify</t>
  </si>
  <si>
    <t>1. 針對常用耗材進行優惠推播。
2.能否直接偵測耗材存量來提醒購買?
3.待後續規劃。
4.待解決Shopify帳號連動解法。</t>
  </si>
  <si>
    <t>推送新機器預購、樹脂特價資訊。</t>
  </si>
  <si>
    <t>四、 企業/團隊功能 (針對牙科或工作室)</t>
  </si>
  <si>
    <t>四、營運配置</t>
  </si>
  <si>
    <t>1. 組織管理</t>
  </si>
  <si>
    <t>1.允許「管理員」創建團隊，並邀請「使用者」加入。
2.可逐項功能開權限給使用者?建議先預開好權限。</t>
  </si>
  <si>
    <t xml:space="preserve">新增刪除修改使用者帳號
</t>
  </si>
  <si>
    <t>2027?</t>
  </si>
  <si>
    <t>1. 版本控管</t>
  </si>
  <si>
    <t>設定「強制更新」或「建議更新」的彈窗，可針對特定作業系統推送。(請問是否可行?以及需求?)</t>
  </si>
  <si>
    <t>選擇開放權限項目</t>
  </si>
  <si>
    <t>刪除他人切片檔</t>
  </si>
  <si>
    <t>2. 參數庫管理</t>
  </si>
  <si>
    <t>官方後台更新樹脂參數後，透過帳號系統推送給終端用戶，使用者重新載入網頁即可更新。(請問是否可行?)</t>
  </si>
  <si>
    <t>編輯他人專案檔</t>
  </si>
  <si>
    <t>新增刪除參數模組</t>
  </si>
  <si>
    <t>修改參數模組</t>
  </si>
  <si>
    <t>鎖定參數模組</t>
  </si>
  <si>
    <t xml:space="preserve">群組式權限管理?		</t>
  </si>
  <si>
    <t>使用者帳號也同步開啟其他平台(pixup、Phrozengo)號嗎?</t>
  </si>
  <si>
    <t>2. 訂閱制權限</t>
  </si>
  <si>
    <t>區分基礎版、進階版(分流量級別)、企業版的功能開關。</t>
  </si>
  <si>
    <t>待討論各訂閱版本所有擁有功能</t>
  </si>
  <si>
    <t>待思考：由於每間診所，實際使用情況不一樣。另一個規劃方式，分兩個權限【最高權限管理者】和【切片使用者】。</t>
  </si>
  <si>
    <t>使用情況一:訂閱帳號(管理者)為診所負責人。3D列印機在診所。實際情況牙技師、牙醫師、牙科助理都會進行切片列印。</t>
  </si>
  <si>
    <t>使用情況二 : 訂閱帳號(管理者)為牙技所負責人。3D列印機在牙技所。</t>
  </si>
  <si>
    <t>權限項目</t>
  </si>
  <si>
    <t>管理者
(診所院長)</t>
  </si>
  <si>
    <t>授權使用者
(牙醫師)</t>
  </si>
  <si>
    <t>授權使用者
(牙技師)</t>
  </si>
  <si>
    <t>授權使用者
(牙科助理、護士)</t>
  </si>
  <si>
    <t>管理者
(牙技所長)</t>
  </si>
  <si>
    <t>帳號管理</t>
  </si>
  <si>
    <t>新增使用者帳號</t>
  </si>
  <si>
    <t>刪除使用者帳號</t>
  </si>
  <si>
    <t>修改使用者帳號</t>
  </si>
  <si>
    <t>查詢使用者帳號</t>
  </si>
  <si>
    <t>切片功能</t>
  </si>
  <si>
    <t>匯入檔案</t>
  </si>
  <si>
    <t>可製作，不確定使用率。</t>
  </si>
  <si>
    <t>修改切片參數
(角度、打洞、支撐)</t>
  </si>
  <si>
    <r>
      <rPr>
        <strike/>
        <sz val="12"/>
        <color rgb="FF000000"/>
        <rFont val="ADLaM Display"/>
      </rPr>
      <t xml:space="preserve">修改機台參數
</t>
    </r>
    <r>
      <rPr>
        <sz val="12"/>
        <color rgb="FF000000"/>
        <rFont val="ADLaM Display"/>
      </rPr>
      <t>通常無須更動，固定</t>
    </r>
  </si>
  <si>
    <t>修改樹脂參數</t>
  </si>
  <si>
    <t>新增自定義參數模組
(公告版)</t>
  </si>
  <si>
    <t>新增自定義參數模組
(自己使用版)</t>
  </si>
  <si>
    <t>修改自定義參數模組
(公告版)</t>
  </si>
  <si>
    <t>修改自定義參數模組
(自己使用版)</t>
  </si>
  <si>
    <t>刪除自定義參數模組
(公告版)</t>
  </si>
  <si>
    <t>刪除自定義參數模組
(自己使用版)</t>
  </si>
  <si>
    <t>使用自定義參數模組
(僅可使用公告版跟自己建立的，無法使用他人版)</t>
  </si>
  <si>
    <t>執行切片</t>
  </si>
  <si>
    <t>匯出檔案</t>
  </si>
  <si>
    <t>送印功能</t>
  </si>
  <si>
    <t>監控機器</t>
  </si>
  <si>
    <t>排程列印?</t>
  </si>
  <si>
    <t>檔案管理功能</t>
  </si>
  <si>
    <t>刪除切片檔案</t>
  </si>
  <si>
    <t>修改切片檔案
(僅可複製檔案後修改複製的檔案)</t>
  </si>
  <si>
    <t>查詢切片檔案</t>
  </si>
  <si>
    <t>資料來源</t>
  </si>
  <si>
    <t>https://www.notion.so/Feature-2-2-2ed6cb2b963780d892b1d1dea6a7dd53</t>
  </si>
  <si>
    <t>必要項目</t>
  </si>
  <si>
    <t>參數項目</t>
  </si>
  <si>
    <t>效果</t>
  </si>
  <si>
    <t>預設值</t>
  </si>
  <si>
    <t>上限</t>
  </si>
  <si>
    <t>下限</t>
  </si>
  <si>
    <t>Eros建議優先的參數</t>
  </si>
  <si>
    <t>臨界角度 (Critical Angle)</t>
  </si>
  <si>
    <t>模型懸空面與水平面的夾角，小於此值將自動生成支撐點。</t>
  </si>
  <si>
    <t>45°</t>
  </si>
  <si>
    <t>90°</t>
  </si>
  <si>
    <t>0°</t>
  </si>
  <si>
    <t>2/2目前可以只先開這個參數</t>
  </si>
  <si>
    <t>推測較為重要的參數</t>
  </si>
  <si>
    <t>支撐點密度 (Support Points Density)</t>
  </si>
  <si>
    <t xml:space="preserve">決定自動生成點的密集程度（百分比）。
</t>
  </si>
  <si>
    <t>有開，未測</t>
  </si>
  <si>
    <t>最小點距離 (Minimal Points Distance)</t>
  </si>
  <si>
    <t>設定支撐點之間的最小物理距離，防止點位過於擁擠。</t>
  </si>
  <si>
    <t>1.0 mm</t>
  </si>
  <si>
    <t>20.0 mm</t>
  </si>
  <si>
    <t>0.0 mm</t>
  </si>
  <si>
    <t>前端直徑 (Head Front Diameter)</t>
  </si>
  <si>
    <t>支撐柱最頂端與模型接觸點的直徑。越細越好拆但越不穩。</t>
  </si>
  <si>
    <t>0.4 mm</t>
  </si>
  <si>
    <t>2.0 mm</t>
  </si>
  <si>
    <t>0.1 mm</t>
  </si>
  <si>
    <t>頭部穿透深度 (Head Penetration)</t>
  </si>
  <si>
    <t xml:space="preserve">支撐頭部刺入模型的深度，確保連接穩固。
</t>
  </si>
  <si>
    <t>0.2 mm</t>
  </si>
  <si>
    <t>頭部寬度 (Head Width)</t>
  </si>
  <si>
    <t xml:space="preserve">支撐頭部從支撐柱過渡到尖端的錐形長度。
</t>
  </si>
  <si>
    <t>支撐柱直徑 (Pillar Diameter)</t>
  </si>
  <si>
    <t xml:space="preserve">支撐柱本體（主幹）的粗細。
</t>
  </si>
  <si>
    <t>15.0 mm</t>
  </si>
  <si>
    <t>連接模式 (Connection Mode)</t>
  </si>
  <si>
    <t>支撐柱間相互連結構建格狀結構的方式（Zig-zag, Cross, Dynamic）。</t>
  </si>
  <si>
    <t>Dynamic</t>
  </si>
  <si>
    <t>最大橋接長度 (Max Bridge Length)</t>
  </si>
  <si>
    <t xml:space="preserve">支撐柱之間水平連線（橋接）的最大長度。
</t>
  </si>
  <si>
    <t>10.0 mm</t>
  </si>
  <si>
    <t>100.0 mm</t>
  </si>
  <si>
    <r>
      <rPr>
        <sz val="12"/>
        <color rgb="FFC00000"/>
        <rFont val="Aptos Narrow"/>
        <scheme val="minor"/>
      </rPr>
      <t xml:space="preserve">Eros建議優先的參數
</t>
    </r>
    <r>
      <rPr>
        <sz val="12"/>
        <color rgb="FF000000"/>
        <rFont val="Aptos Narrow"/>
        <scheme val="minor"/>
      </rPr>
      <t>推測較為重要的參數</t>
    </r>
  </si>
  <si>
    <t>物件抬升高度 (Object Elevation)</t>
  </si>
  <si>
    <t>模型底部與列印平台（或底座）之間的距離。</t>
  </si>
  <si>
    <t>5.0 mm</t>
  </si>
  <si>
    <t>150.0 mm</t>
  </si>
  <si>
    <t>暫時用預設值，先不提供調整</t>
  </si>
  <si>
    <t>底座厚度 (Pad Thickness)</t>
  </si>
  <si>
    <t xml:space="preserve">底座垂直面的總厚度。
</t>
  </si>
  <si>
    <t>底座邊緣坡度 (Pad Slope)</t>
  </si>
  <si>
    <t>底座邊緣的傾斜角度，有助於鏟刀移除模型。</t>
  </si>
  <si>
    <t>底座物件間隙 (Pad Object Gap)</t>
  </si>
  <si>
    <t>當使用「繞物件底座 (Pad around object)」時，底座與模型的距離。</t>
  </si>
  <si>
    <t>圍繞物件 (Pad around Object)</t>
  </si>
  <si>
    <t>是否在物件底部直接生成底座，而非抬升物件。</t>
  </si>
  <si>
    <t>關閉 (Off)</t>
  </si>
  <si>
    <t>牆壁高度 (Pad Wall Height)</t>
  </si>
  <si>
    <t xml:space="preserve">若使用圍繞物件，此值定義圍牆的高度。
</t>
  </si>
  <si>
    <t>50.0 mm</t>
  </si>
  <si>
    <t>牆壁厚度 (Pad Wall Thickness)</t>
  </si>
  <si>
    <t xml:space="preserve">若使用圍繞物件，此值定義圍牆的寬度。
</t>
  </si>
  <si>
    <t>https://www.notion.so/2f76cb2b96378063918aede70f04941a</t>
  </si>
  <si>
    <t>打洞功能 - 柱子形狀</t>
  </si>
  <si>
    <t>n/a</t>
  </si>
  <si>
    <t>僅圓柱就好</t>
  </si>
  <si>
    <t>打洞功能 - 圓柱半徑</t>
  </si>
  <si>
    <t>2.5mm</t>
  </si>
  <si>
    <t>30mm</t>
  </si>
  <si>
    <t>3mm</t>
  </si>
  <si>
    <t>打洞功能 - 圓柱長度</t>
  </si>
  <si>
    <t>5mm</t>
  </si>
  <si>
    <t>20mm</t>
  </si>
  <si>
    <t>中空或開底- 外殼厚度</t>
  </si>
  <si>
    <t>1.5mm</t>
  </si>
  <si>
    <t>10mm</t>
  </si>
  <si>
    <t>2mm</t>
  </si>
  <si>
    <t>開底後的填充 - 壁厚</t>
  </si>
  <si>
    <t>1mm</t>
  </si>
  <si>
    <t>正畸模型：下限為1.5mm</t>
  </si>
  <si>
    <t>開底後的填充 - 填充格直徑</t>
  </si>
  <si>
    <t>開底填充底部的孔 - 孔直徑</t>
  </si>
  <si>
    <t>填充格邊長80%</t>
  </si>
  <si>
    <t>開底填充底部的孔 - 孔高度</t>
  </si>
  <si>
    <t>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</si>
</sst>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新細明體"/>
      <family val="2"/>
      <scheme val="minor"/>
    </font>
    <font>
      <sz val="12"/>
      <color theme="1"/>
      <name val="Aptos Narrow"/>
      <scheme val="minor"/>
    </font>
    <font>
      <b/>
      <sz val="12"/>
      <color rgb="FF000000"/>
      <name val="Aptos Narrow"/>
      <scheme val="minor"/>
    </font>
    <font>
      <b/>
      <sz val="12"/>
      <color theme="1"/>
      <name val="Aptos Narrow"/>
      <scheme val="minor"/>
    </font>
    <font>
      <sz val="12"/>
      <color rgb="FF000000"/>
      <name val="Aptos Narrow"/>
      <scheme val="minor"/>
    </font>
    <font>
      <sz val="11"/>
      <color rgb="FF000000"/>
      <name val="Aptos Narrow"/>
      <scheme val="minor"/>
    </font>
    <font>
      <sz val="12"/>
      <color rgb="FFC00000"/>
      <name val="Aptos Narrow"/>
      <scheme val="minor"/>
    </font>
    <font>
      <u/>
      <sz val="12"/>
      <color theme="10"/>
      <name val="新細明體"/>
      <family val="2"/>
      <scheme val="minor"/>
    </font>
    <font>
      <sz val="12"/>
      <color rgb="FF000000"/>
      <name val="Aptos Narrow"/>
      <charset val="1"/>
    </font>
    <font>
      <sz val="12"/>
      <color theme="0"/>
      <name val="Aptos Narrow"/>
      <scheme val="minor"/>
    </font>
    <font>
      <sz val="12"/>
      <color rgb="FFFFFFFF"/>
      <name val="Aptos Narrow"/>
      <scheme val="minor"/>
    </font>
    <font>
      <sz val="12"/>
      <color theme="2" tint="-0.249977111117893"/>
      <name val="Aptos Narrow"/>
      <scheme val="minor"/>
    </font>
    <font>
      <sz val="14"/>
      <color theme="0"/>
      <name val="Aptos Narrow"/>
      <scheme val="minor"/>
    </font>
    <font>
      <sz val="14"/>
      <color theme="1"/>
      <name val="Aptos Narrow"/>
      <scheme val="minor"/>
    </font>
    <font>
      <b/>
      <sz val="12"/>
      <color rgb="FF808080"/>
      <name val="Aptos Narrow"/>
      <scheme val="minor"/>
    </font>
    <font>
      <sz val="12"/>
      <color theme="1" tint="0.499984740745262"/>
      <name val="Aptos Narrow"/>
      <scheme val="minor"/>
    </font>
    <font>
      <sz val="12"/>
      <color theme="1"/>
      <name val="ADLaM Display"/>
    </font>
    <font>
      <sz val="12"/>
      <color rgb="FF000000"/>
      <name val="ADLaM Display"/>
    </font>
    <font>
      <sz val="12"/>
      <color theme="0"/>
      <name val="ADLaM Display"/>
    </font>
    <font>
      <strike/>
      <sz val="12"/>
      <color rgb="FF000000"/>
      <name val="ADLaM Display"/>
    </font>
    <font>
      <sz val="18"/>
      <color rgb="FF000000"/>
      <name val="Aptos Narrow"/>
      <scheme val="minor"/>
    </font>
    <font>
      <sz val="18"/>
      <color theme="1"/>
      <name val="Aptos Narrow"/>
      <scheme val="minor"/>
    </font>
    <font>
      <sz val="12"/>
      <color theme="1"/>
      <name val="Aptos Narrow"/>
    </font>
    <font>
      <u/>
      <sz val="12"/>
      <color theme="10"/>
      <name val="Aptos Narrow"/>
      <scheme val="minor"/>
    </font>
    <font>
      <sz val="12"/>
      <color theme="1"/>
      <name val="Arial"/>
    </font>
    <font>
      <sz val="12"/>
      <color rgb="FF000000"/>
      <name val="Arial"/>
    </font>
    <font>
      <sz val="14"/>
      <color theme="1"/>
      <name val="Arial"/>
    </font>
    <font>
      <sz val="12"/>
      <color theme="0"/>
      <name val="Arial"/>
    </font>
    <font>
      <b/>
      <sz val="12"/>
      <color rgb="FFE87331"/>
      <name val="Arial"/>
    </font>
    <font>
      <sz val="12"/>
      <color rgb="FFFF0000"/>
      <name val="Aptos Narrow"/>
      <scheme val="minor"/>
    </font>
  </fonts>
  <fills count="12">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2">
    <xf numFmtId="0" fontId="0" fillId="0" borderId="0"/>
    <xf numFmtId="0" fontId="7" fillId="0" borderId="0" applyNumberFormat="0" applyFill="0" applyBorder="0" applyAlignment="0" applyProtection="0"/>
  </cellStyleXfs>
  <cellXfs count="283">
    <xf numFmtId="0" fontId="0" fillId="0" borderId="0" xfId="0"/>
    <xf numFmtId="0" fontId="1" fillId="0" borderId="0" xfId="0" applyFont="1"/>
    <xf numFmtId="49" fontId="1" fillId="0" borderId="0" xfId="0" applyNumberFormat="1" applyFont="1"/>
    <xf numFmtId="0" fontId="1" fillId="0" borderId="1" xfId="0" applyFont="1" applyBorder="1"/>
    <xf numFmtId="49" fontId="1" fillId="0" borderId="1" xfId="0" applyNumberFormat="1" applyFont="1" applyBorder="1"/>
    <xf numFmtId="0" fontId="1" fillId="2" borderId="1" xfId="0" applyFont="1" applyFill="1" applyBorder="1"/>
    <xf numFmtId="0" fontId="1" fillId="3" borderId="1" xfId="0" applyFont="1" applyFill="1" applyBorder="1"/>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2" xfId="0" applyFont="1" applyBorder="1"/>
    <xf numFmtId="49" fontId="1" fillId="0" borderId="2" xfId="0" applyNumberFormat="1" applyFont="1" applyBorder="1"/>
    <xf numFmtId="49" fontId="1" fillId="0" borderId="6" xfId="0" applyNumberFormat="1" applyFont="1" applyBorder="1"/>
    <xf numFmtId="0" fontId="1" fillId="0" borderId="4" xfId="0" applyFont="1" applyBorder="1"/>
    <xf numFmtId="0" fontId="1" fillId="0" borderId="5" xfId="0" applyFont="1" applyBorder="1"/>
    <xf numFmtId="0" fontId="1" fillId="2" borderId="2" xfId="0" applyFont="1" applyFill="1" applyBorder="1"/>
    <xf numFmtId="0" fontId="1" fillId="0" borderId="1" xfId="0" applyFont="1" applyBorder="1" applyAlignment="1">
      <alignment horizontal="left"/>
    </xf>
    <xf numFmtId="0" fontId="1" fillId="4" borderId="1" xfId="0" applyFont="1" applyFill="1" applyBorder="1"/>
    <xf numFmtId="0" fontId="1" fillId="0" borderId="2" xfId="0" applyFont="1" applyBorder="1" applyAlignment="1">
      <alignment horizontal="left" wrapText="1"/>
    </xf>
    <xf numFmtId="0" fontId="1" fillId="4" borderId="2" xfId="0" applyFont="1" applyFill="1" applyBorder="1"/>
    <xf numFmtId="0" fontId="1" fillId="0" borderId="2" xfId="0" applyFont="1" applyBorder="1" applyAlignment="1">
      <alignment vertical="top"/>
    </xf>
    <xf numFmtId="0" fontId="4" fillId="0" borderId="1" xfId="0" applyFont="1" applyBorder="1"/>
    <xf numFmtId="0" fontId="1" fillId="0" borderId="2" xfId="0" applyFont="1" applyBorder="1" applyAlignment="1">
      <alignment horizontal="center" vertical="center" wrapText="1"/>
    </xf>
    <xf numFmtId="0" fontId="3" fillId="0" borderId="6" xfId="0" applyFont="1" applyBorder="1" applyAlignment="1">
      <alignment horizontal="center" vertical="center" wrapText="1"/>
    </xf>
    <xf numFmtId="0" fontId="1" fillId="0" borderId="7" xfId="0" applyFont="1" applyBorder="1"/>
    <xf numFmtId="0" fontId="4" fillId="4" borderId="3" xfId="0" applyFont="1" applyFill="1" applyBorder="1" applyAlignment="1">
      <alignment vertical="top"/>
    </xf>
    <xf numFmtId="0" fontId="1" fillId="4" borderId="3" xfId="0" applyFont="1" applyFill="1" applyBorder="1"/>
    <xf numFmtId="0" fontId="6" fillId="0" borderId="2" xfId="0" applyFont="1" applyBorder="1" applyAlignment="1">
      <alignment horizontal="left"/>
    </xf>
    <xf numFmtId="0" fontId="6" fillId="0" borderId="2" xfId="0" applyFont="1" applyBorder="1"/>
    <xf numFmtId="0" fontId="1" fillId="2" borderId="1" xfId="0" applyFont="1" applyFill="1" applyBorder="1" applyAlignment="1">
      <alignment horizontal="center"/>
    </xf>
    <xf numFmtId="0" fontId="1" fillId="0" borderId="1" xfId="0" applyFont="1" applyBorder="1" applyAlignment="1">
      <alignment vertical="center"/>
    </xf>
    <xf numFmtId="9" fontId="1" fillId="0" borderId="1" xfId="0" applyNumberFormat="1" applyFont="1" applyBorder="1" applyAlignment="1">
      <alignment vertical="center"/>
    </xf>
    <xf numFmtId="9" fontId="1" fillId="0" borderId="1" xfId="0" applyNumberFormat="1" applyFont="1" applyBorder="1" applyAlignment="1">
      <alignment vertical="center" wrapText="1"/>
    </xf>
    <xf numFmtId="9" fontId="1" fillId="0" borderId="1" xfId="0" applyNumberFormat="1" applyFont="1" applyBorder="1"/>
    <xf numFmtId="0" fontId="7" fillId="0" borderId="1" xfId="1" applyBorder="1" applyAlignment="1">
      <alignment vertical="center" wrapText="1"/>
    </xf>
    <xf numFmtId="0" fontId="1" fillId="2" borderId="1" xfId="0" applyFont="1" applyFill="1" applyBorder="1" applyAlignment="1">
      <alignment horizontal="center" vertical="center"/>
    </xf>
    <xf numFmtId="0" fontId="8" fillId="0" borderId="0" xfId="0" applyFont="1" applyAlignment="1">
      <alignment vertical="center" wrapText="1"/>
    </xf>
    <xf numFmtId="0" fontId="1" fillId="0" borderId="1" xfId="0" applyFont="1" applyBorder="1" applyAlignment="1">
      <alignment wrapText="1"/>
    </xf>
    <xf numFmtId="0" fontId="1" fillId="0" borderId="2" xfId="0" applyFont="1" applyBorder="1" applyAlignment="1">
      <alignment wrapText="1"/>
    </xf>
    <xf numFmtId="0" fontId="7" fillId="5" borderId="1" xfId="1" applyFill="1" applyBorder="1" applyAlignment="1">
      <alignment vertical="center"/>
    </xf>
    <xf numFmtId="0" fontId="7" fillId="0" borderId="1" xfId="1" applyBorder="1"/>
    <xf numFmtId="0" fontId="7" fillId="0" borderId="1" xfId="1" applyBorder="1" applyAlignment="1">
      <alignment vertical="center"/>
    </xf>
    <xf numFmtId="0" fontId="7" fillId="0" borderId="8" xfId="1" applyBorder="1" applyAlignment="1">
      <alignment horizontal="left" vertical="center" wrapText="1"/>
    </xf>
    <xf numFmtId="0" fontId="7" fillId="0" borderId="0" xfId="1" applyFill="1"/>
    <xf numFmtId="0" fontId="1" fillId="2" borderId="5" xfId="0" applyFont="1" applyFill="1" applyBorder="1"/>
    <xf numFmtId="0" fontId="0" fillId="0" borderId="0" xfId="0" applyAlignment="1">
      <alignment vertical="top"/>
    </xf>
    <xf numFmtId="0" fontId="1" fillId="0" borderId="0" xfId="0" applyFont="1" applyAlignment="1">
      <alignment vertical="top"/>
    </xf>
    <xf numFmtId="0" fontId="1" fillId="0" borderId="1" xfId="0" applyFont="1" applyBorder="1" applyAlignment="1">
      <alignment vertical="top" wrapText="1"/>
    </xf>
    <xf numFmtId="0" fontId="4" fillId="0" borderId="9" xfId="0" applyFont="1" applyBorder="1" applyAlignment="1">
      <alignment vertical="top"/>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2" xfId="0" applyFont="1" applyBorder="1" applyAlignment="1">
      <alignment vertical="top" wrapText="1"/>
    </xf>
    <xf numFmtId="0" fontId="1" fillId="0" borderId="9" xfId="0" applyFont="1" applyBorder="1" applyAlignment="1">
      <alignment vertical="top"/>
    </xf>
    <xf numFmtId="0" fontId="1" fillId="0" borderId="11" xfId="0" applyFont="1" applyBorder="1" applyAlignment="1">
      <alignment vertical="top"/>
    </xf>
    <xf numFmtId="0" fontId="1" fillId="0" borderId="13" xfId="0" applyFont="1" applyBorder="1" applyAlignment="1">
      <alignment vertical="top" wrapText="1"/>
    </xf>
    <xf numFmtId="0" fontId="9" fillId="0" borderId="0" xfId="0" applyFont="1" applyAlignment="1">
      <alignment horizontal="center" vertical="top"/>
    </xf>
    <xf numFmtId="0" fontId="4" fillId="0" borderId="0" xfId="0" applyFont="1" applyAlignment="1">
      <alignment horizontal="center" vertical="top"/>
    </xf>
    <xf numFmtId="0" fontId="4" fillId="0" borderId="1" xfId="0" applyFont="1" applyBorder="1" applyAlignment="1">
      <alignment horizontal="center" vertical="top"/>
    </xf>
    <xf numFmtId="0" fontId="9" fillId="0" borderId="9" xfId="0" applyFont="1" applyBorder="1" applyAlignment="1">
      <alignment horizontal="center" vertical="top"/>
    </xf>
    <xf numFmtId="0" fontId="4" fillId="0" borderId="1" xfId="0" applyFont="1" applyBorder="1" applyAlignment="1">
      <alignment vertical="top" wrapText="1"/>
    </xf>
    <xf numFmtId="0" fontId="1" fillId="0" borderId="11"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1" fillId="0" borderId="0" xfId="0" applyFont="1" applyAlignment="1">
      <alignment vertical="top" wrapText="1"/>
    </xf>
    <xf numFmtId="0" fontId="9" fillId="0" borderId="10" xfId="0" applyFont="1" applyBorder="1" applyAlignment="1">
      <alignment horizontal="center" vertical="top"/>
    </xf>
    <xf numFmtId="0" fontId="0" fillId="0" borderId="10" xfId="0" applyBorder="1" applyAlignment="1">
      <alignment vertical="top"/>
    </xf>
    <xf numFmtId="0" fontId="0" fillId="0" borderId="12" xfId="0" applyBorder="1" applyAlignment="1">
      <alignment vertical="top"/>
    </xf>
    <xf numFmtId="0" fontId="1" fillId="0" borderId="1" xfId="0" applyFont="1" applyBorder="1" applyAlignment="1">
      <alignment horizontal="left" vertical="center"/>
    </xf>
    <xf numFmtId="0" fontId="11" fillId="0" borderId="2" xfId="0" applyFont="1" applyBorder="1" applyAlignment="1">
      <alignment horizontal="left"/>
    </xf>
    <xf numFmtId="0" fontId="11" fillId="0" borderId="2" xfId="0" applyFont="1" applyBorder="1"/>
    <xf numFmtId="0" fontId="7" fillId="0" borderId="1" xfId="1" applyFill="1" applyBorder="1" applyAlignment="1">
      <alignment horizontal="left" vertical="center"/>
    </xf>
    <xf numFmtId="0" fontId="11" fillId="0" borderId="2" xfId="0" applyFont="1" applyBorder="1" applyAlignment="1">
      <alignment horizontal="center" vertical="center" wrapText="1"/>
    </xf>
    <xf numFmtId="0" fontId="1" fillId="0" borderId="8" xfId="0" applyFont="1" applyBorder="1" applyAlignment="1">
      <alignment vertical="center" wrapText="1"/>
    </xf>
    <xf numFmtId="0" fontId="1" fillId="5" borderId="4" xfId="0" applyFont="1" applyFill="1" applyBorder="1"/>
    <xf numFmtId="0" fontId="1" fillId="5" borderId="2" xfId="0" applyFont="1" applyFill="1" applyBorder="1"/>
    <xf numFmtId="0" fontId="1" fillId="5" borderId="1" xfId="0" applyFont="1" applyFill="1" applyBorder="1"/>
    <xf numFmtId="0" fontId="1" fillId="5" borderId="1" xfId="0" applyFont="1" applyFill="1" applyBorder="1" applyAlignment="1">
      <alignment horizontal="left" vertical="top"/>
    </xf>
    <xf numFmtId="0" fontId="1" fillId="5" borderId="6" xfId="0" applyFont="1" applyFill="1" applyBorder="1"/>
    <xf numFmtId="0" fontId="12" fillId="6" borderId="0" xfId="0" applyFont="1" applyFill="1" applyAlignment="1">
      <alignment horizontal="left" vertical="top"/>
    </xf>
    <xf numFmtId="0" fontId="13" fillId="0" borderId="0" xfId="0" applyFont="1"/>
    <xf numFmtId="0" fontId="1" fillId="5" borderId="7" xfId="0" applyFont="1" applyFill="1" applyBorder="1" applyAlignment="1">
      <alignment vertical="top" wrapText="1"/>
    </xf>
    <xf numFmtId="0" fontId="1" fillId="5" borderId="1" xfId="0" applyFont="1" applyFill="1" applyBorder="1" applyAlignment="1">
      <alignment vertical="top"/>
    </xf>
    <xf numFmtId="0" fontId="1" fillId="5" borderId="5" xfId="0" applyFont="1" applyFill="1" applyBorder="1" applyAlignment="1">
      <alignment horizontal="left" vertical="top"/>
    </xf>
    <xf numFmtId="0" fontId="1" fillId="0" borderId="1" xfId="0" applyFont="1" applyBorder="1" applyAlignment="1">
      <alignment horizontal="left" vertical="top" wrapText="1"/>
    </xf>
    <xf numFmtId="0" fontId="15" fillId="5" borderId="2" xfId="0" applyFont="1" applyFill="1" applyBorder="1"/>
    <xf numFmtId="0" fontId="15" fillId="5" borderId="2" xfId="0" applyFont="1" applyFill="1" applyBorder="1" applyAlignment="1">
      <alignment vertical="top"/>
    </xf>
    <xf numFmtId="0" fontId="15" fillId="5" borderId="2" xfId="0" applyFont="1" applyFill="1" applyBorder="1" applyAlignment="1">
      <alignment vertical="top" wrapText="1"/>
    </xf>
    <xf numFmtId="0" fontId="1" fillId="0" borderId="1" xfId="0" applyFont="1" applyBorder="1" applyAlignment="1">
      <alignment vertical="top"/>
    </xf>
    <xf numFmtId="0" fontId="15" fillId="5" borderId="1" xfId="0" applyFont="1" applyFill="1" applyBorder="1"/>
    <xf numFmtId="0" fontId="15" fillId="5" borderId="6" xfId="0" applyFont="1" applyFill="1" applyBorder="1" applyAlignment="1">
      <alignment horizontal="left" vertical="top"/>
    </xf>
    <xf numFmtId="0" fontId="15" fillId="5" borderId="1" xfId="0" applyFont="1" applyFill="1" applyBorder="1" applyAlignment="1">
      <alignment horizontal="left" vertical="top"/>
    </xf>
    <xf numFmtId="0" fontId="15" fillId="0" borderId="1" xfId="0" applyFont="1" applyBorder="1" applyAlignment="1">
      <alignment horizontal="left" vertical="top" wrapText="1"/>
    </xf>
    <xf numFmtId="0" fontId="15" fillId="0" borderId="1" xfId="0" applyFont="1" applyBorder="1" applyAlignment="1">
      <alignment horizontal="left"/>
    </xf>
    <xf numFmtId="0" fontId="15" fillId="5" borderId="6" xfId="0" applyFont="1" applyFill="1" applyBorder="1" applyAlignment="1">
      <alignment vertical="top" wrapText="1"/>
    </xf>
    <xf numFmtId="0" fontId="15" fillId="0" borderId="2" xfId="0" applyFont="1" applyBorder="1" applyAlignment="1">
      <alignment horizontal="left" vertical="top" wrapText="1"/>
    </xf>
    <xf numFmtId="49" fontId="1" fillId="5" borderId="1" xfId="0" applyNumberFormat="1" applyFont="1" applyFill="1" applyBorder="1"/>
    <xf numFmtId="0" fontId="15" fillId="5" borderId="2" xfId="0" applyFont="1" applyFill="1" applyBorder="1" applyAlignment="1">
      <alignment horizontal="left"/>
    </xf>
    <xf numFmtId="0" fontId="15" fillId="0" borderId="2" xfId="0" applyFont="1" applyBorder="1" applyAlignment="1">
      <alignment horizontal="left"/>
    </xf>
    <xf numFmtId="0" fontId="15" fillId="5" borderId="4" xfId="0" applyFont="1" applyFill="1" applyBorder="1"/>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8" xfId="0" applyFont="1" applyBorder="1" applyAlignment="1">
      <alignment horizontal="left" vertical="top"/>
    </xf>
    <xf numFmtId="0" fontId="1" fillId="0" borderId="8" xfId="0" applyFont="1" applyBorder="1" applyAlignment="1">
      <alignment horizontal="left" vertical="top" wrapText="1"/>
    </xf>
    <xf numFmtId="0" fontId="15" fillId="0" borderId="4" xfId="0" applyFont="1" applyBorder="1"/>
    <xf numFmtId="0" fontId="1" fillId="0" borderId="4" xfId="0" applyFont="1" applyBorder="1" applyAlignment="1">
      <alignment horizontal="left" vertical="top"/>
    </xf>
    <xf numFmtId="0" fontId="1" fillId="0" borderId="8" xfId="0" applyFont="1" applyBorder="1"/>
    <xf numFmtId="0" fontId="15" fillId="0" borderId="1" xfId="0" applyFont="1" applyBorder="1" applyAlignment="1">
      <alignment horizontal="left" vertical="top"/>
    </xf>
    <xf numFmtId="0" fontId="16" fillId="0" borderId="0" xfId="0" applyFont="1"/>
    <xf numFmtId="0" fontId="18" fillId="6" borderId="0" xfId="0" applyFont="1" applyFill="1" applyAlignment="1">
      <alignment horizontal="left" vertical="center"/>
    </xf>
    <xf numFmtId="0" fontId="16" fillId="0" borderId="1" xfId="0" applyFont="1" applyBorder="1"/>
    <xf numFmtId="0" fontId="16" fillId="0" borderId="1" xfId="0" applyFont="1" applyBorder="1" applyAlignment="1">
      <alignment vertical="center" wrapText="1"/>
    </xf>
    <xf numFmtId="0" fontId="16" fillId="0" borderId="1" xfId="0" applyFont="1" applyBorder="1" applyAlignment="1">
      <alignment wrapText="1"/>
    </xf>
    <xf numFmtId="0" fontId="16" fillId="8" borderId="1" xfId="0" applyFont="1" applyFill="1" applyBorder="1"/>
    <xf numFmtId="0" fontId="1" fillId="8" borderId="1" xfId="0" applyFont="1" applyFill="1" applyBorder="1" applyAlignment="1">
      <alignment vertical="top"/>
    </xf>
    <xf numFmtId="0" fontId="1" fillId="8" borderId="1" xfId="0" applyFont="1" applyFill="1" applyBorder="1" applyAlignment="1">
      <alignment vertical="top" wrapText="1"/>
    </xf>
    <xf numFmtId="0" fontId="4" fillId="8" borderId="1" xfId="0" applyFont="1" applyFill="1" applyBorder="1" applyAlignment="1">
      <alignment vertical="top"/>
    </xf>
    <xf numFmtId="0" fontId="15" fillId="0" borderId="1" xfId="0" applyFont="1" applyBorder="1"/>
    <xf numFmtId="0" fontId="15" fillId="0" borderId="2" xfId="0" applyFont="1" applyBorder="1"/>
    <xf numFmtId="0" fontId="15" fillId="0" borderId="17" xfId="0" applyFont="1" applyBorder="1" applyAlignment="1">
      <alignment vertical="top"/>
    </xf>
    <xf numFmtId="0" fontId="15" fillId="0" borderId="5" xfId="0" applyFont="1" applyBorder="1" applyAlignment="1">
      <alignment vertical="top"/>
    </xf>
    <xf numFmtId="0" fontId="15" fillId="0" borderId="8" xfId="0" applyFont="1" applyBorder="1" applyAlignment="1">
      <alignment horizontal="left" vertical="top" wrapText="1"/>
    </xf>
    <xf numFmtId="0" fontId="19" fillId="0" borderId="1" xfId="0" applyFont="1" applyBorder="1" applyAlignment="1">
      <alignment wrapText="1"/>
    </xf>
    <xf numFmtId="0" fontId="17" fillId="0" borderId="1" xfId="0" applyFont="1" applyBorder="1" applyAlignment="1">
      <alignment wrapText="1"/>
    </xf>
    <xf numFmtId="0" fontId="1" fillId="5" borderId="2" xfId="0" applyFont="1" applyFill="1" applyBorder="1" applyAlignment="1">
      <alignment horizontal="left" vertical="top" wrapText="1"/>
    </xf>
    <xf numFmtId="0" fontId="1" fillId="5" borderId="3" xfId="0" applyFont="1" applyFill="1" applyBorder="1" applyAlignment="1">
      <alignment horizontal="left" vertical="top"/>
    </xf>
    <xf numFmtId="0" fontId="1" fillId="5" borderId="4" xfId="0" applyFont="1" applyFill="1" applyBorder="1" applyAlignment="1">
      <alignment horizontal="left" vertical="top"/>
    </xf>
    <xf numFmtId="0" fontId="1" fillId="5" borderId="17" xfId="0" applyFont="1" applyFill="1" applyBorder="1" applyAlignment="1">
      <alignment horizontal="left" vertical="top"/>
    </xf>
    <xf numFmtId="0" fontId="16" fillId="0" borderId="1" xfId="0" applyFont="1" applyBorder="1" applyAlignment="1">
      <alignment vertical="top" wrapText="1"/>
    </xf>
    <xf numFmtId="0" fontId="20" fillId="8" borderId="1" xfId="0" applyFont="1" applyFill="1" applyBorder="1"/>
    <xf numFmtId="0" fontId="21" fillId="8" borderId="1" xfId="0" applyFont="1" applyFill="1" applyBorder="1"/>
    <xf numFmtId="0" fontId="20" fillId="0" borderId="1" xfId="0" applyFont="1" applyBorder="1"/>
    <xf numFmtId="0" fontId="21" fillId="0" borderId="1" xfId="0" applyFont="1" applyBorder="1"/>
    <xf numFmtId="9" fontId="1" fillId="0" borderId="1" xfId="0" applyNumberFormat="1" applyFont="1" applyBorder="1" applyAlignment="1">
      <alignment horizontal="left" vertical="center"/>
    </xf>
    <xf numFmtId="0" fontId="1" fillId="2" borderId="1" xfId="0" applyFont="1" applyFill="1" applyBorder="1" applyAlignment="1">
      <alignment horizontal="left" vertical="center" wrapText="1"/>
    </xf>
    <xf numFmtId="0" fontId="1" fillId="0" borderId="3" xfId="0" applyFont="1" applyBorder="1" applyAlignment="1">
      <alignment horizontal="left" vertical="center" wrapText="1"/>
    </xf>
    <xf numFmtId="0" fontId="3" fillId="3" borderId="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 fillId="0" borderId="3" xfId="0" applyFont="1" applyBorder="1" applyAlignment="1">
      <alignment vertical="center" wrapText="1"/>
    </xf>
    <xf numFmtId="0" fontId="1" fillId="3" borderId="1" xfId="0" applyFont="1" applyFill="1" applyBorder="1" applyAlignment="1">
      <alignment wrapText="1"/>
    </xf>
    <xf numFmtId="0" fontId="21" fillId="9" borderId="1" xfId="0" applyFont="1" applyFill="1" applyBorder="1"/>
    <xf numFmtId="0" fontId="20" fillId="9" borderId="1" xfId="0" applyFont="1" applyFill="1" applyBorder="1"/>
    <xf numFmtId="0" fontId="1" fillId="10" borderId="1" xfId="0" applyFont="1" applyFill="1" applyBorder="1" applyAlignment="1">
      <alignment wrapText="1"/>
    </xf>
    <xf numFmtId="0" fontId="6" fillId="0" borderId="0" xfId="0" applyFont="1"/>
    <xf numFmtId="0" fontId="1" fillId="0" borderId="3" xfId="0" applyFont="1" applyBorder="1" applyAlignment="1">
      <alignment horizontal="center" vertical="center" wrapText="1"/>
    </xf>
    <xf numFmtId="0" fontId="3" fillId="3" borderId="8" xfId="0" applyFont="1" applyFill="1" applyBorder="1" applyAlignment="1">
      <alignment horizontal="center" vertical="center" wrapText="1"/>
    </xf>
    <xf numFmtId="0" fontId="1" fillId="0" borderId="2" xfId="0" applyFont="1" applyBorder="1" applyAlignment="1">
      <alignment horizontal="left" vertical="center"/>
    </xf>
    <xf numFmtId="0" fontId="1" fillId="0" borderId="0" xfId="0" applyFont="1" applyAlignment="1">
      <alignment horizontal="left" vertical="top" wrapText="1"/>
    </xf>
    <xf numFmtId="0" fontId="9" fillId="6" borderId="0" xfId="0" applyFont="1" applyFill="1" applyAlignment="1">
      <alignment horizontal="left" vertical="top" wrapText="1"/>
    </xf>
    <xf numFmtId="0" fontId="1" fillId="11" borderId="0" xfId="0" applyFont="1" applyFill="1" applyAlignment="1">
      <alignment horizontal="left" vertical="top" wrapText="1"/>
    </xf>
    <xf numFmtId="9" fontId="1" fillId="11" borderId="0" xfId="0" applyNumberFormat="1" applyFont="1" applyFill="1" applyAlignment="1">
      <alignment horizontal="left" vertical="top" wrapText="1"/>
    </xf>
    <xf numFmtId="0" fontId="1" fillId="11" borderId="0" xfId="0" applyFont="1" applyFill="1"/>
    <xf numFmtId="0" fontId="6" fillId="0" borderId="0" xfId="0" applyFont="1" applyAlignment="1">
      <alignment horizontal="left" vertical="top"/>
    </xf>
    <xf numFmtId="0" fontId="1" fillId="0" borderId="0" xfId="0" applyFont="1" applyAlignment="1">
      <alignment horizontal="left" vertical="top"/>
    </xf>
    <xf numFmtId="0" fontId="4" fillId="11" borderId="0" xfId="0" applyFont="1" applyFill="1" applyAlignment="1">
      <alignment horizontal="left" vertical="top"/>
    </xf>
    <xf numFmtId="0" fontId="4" fillId="0" borderId="0" xfId="0" applyFont="1" applyAlignment="1">
      <alignment horizontal="left" vertical="top"/>
    </xf>
    <xf numFmtId="0" fontId="1" fillId="11" borderId="0" xfId="0" applyFont="1" applyFill="1" applyAlignment="1">
      <alignment horizontal="left" vertical="top"/>
    </xf>
    <xf numFmtId="0" fontId="7" fillId="0" borderId="0" xfId="1" applyAlignment="1">
      <alignment horizontal="left" vertical="top"/>
    </xf>
    <xf numFmtId="0" fontId="23" fillId="0" borderId="0" xfId="1" applyFont="1"/>
    <xf numFmtId="0" fontId="9" fillId="6" borderId="0" xfId="0" applyFont="1" applyFill="1"/>
    <xf numFmtId="0" fontId="16" fillId="0" borderId="0" xfId="0" applyFont="1" applyAlignment="1">
      <alignment vertical="center"/>
    </xf>
    <xf numFmtId="0" fontId="24" fillId="0" borderId="0" xfId="0" applyFont="1"/>
    <xf numFmtId="0" fontId="24" fillId="0" borderId="0" xfId="0" applyFont="1" applyAlignment="1">
      <alignment horizontal="left" vertical="top"/>
    </xf>
    <xf numFmtId="0" fontId="26" fillId="0" borderId="0" xfId="0" applyFont="1"/>
    <xf numFmtId="0" fontId="7" fillId="0" borderId="0" xfId="1"/>
    <xf numFmtId="9" fontId="1" fillId="9" borderId="1" xfId="0" applyNumberFormat="1" applyFont="1" applyFill="1" applyBorder="1" applyAlignment="1">
      <alignment horizontal="left" vertical="center"/>
    </xf>
    <xf numFmtId="9" fontId="1" fillId="9" borderId="1" xfId="0" applyNumberFormat="1" applyFont="1" applyFill="1" applyBorder="1" applyAlignment="1">
      <alignment vertical="center" wrapText="1"/>
    </xf>
    <xf numFmtId="0" fontId="1" fillId="9" borderId="1" xfId="0" applyFont="1" applyFill="1" applyBorder="1" applyAlignment="1">
      <alignment vertical="center" wrapText="1"/>
    </xf>
    <xf numFmtId="0" fontId="1" fillId="9" borderId="1" xfId="0" applyFont="1" applyFill="1" applyBorder="1" applyAlignment="1">
      <alignment vertical="center"/>
    </xf>
    <xf numFmtId="9" fontId="1" fillId="9" borderId="1" xfId="0" applyNumberFormat="1" applyFont="1" applyFill="1" applyBorder="1"/>
    <xf numFmtId="0" fontId="1" fillId="9" borderId="1" xfId="0" applyFont="1" applyFill="1" applyBorder="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8"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27" fillId="6" borderId="0" xfId="0" applyFont="1" applyFill="1" applyAlignment="1">
      <alignment horizontal="left" vertical="top"/>
    </xf>
    <xf numFmtId="0" fontId="3" fillId="3" borderId="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8" xfId="0" applyFont="1" applyBorder="1" applyAlignment="1">
      <alignment horizontal="left" vertical="center"/>
    </xf>
    <xf numFmtId="9" fontId="22" fillId="0" borderId="2" xfId="0" applyNumberFormat="1" applyFont="1" applyBorder="1" applyAlignment="1">
      <alignment horizontal="left" vertical="center" wrapText="1"/>
    </xf>
    <xf numFmtId="9" fontId="22" fillId="0" borderId="3" xfId="0" applyNumberFormat="1" applyFont="1" applyBorder="1" applyAlignment="1">
      <alignment horizontal="left" vertical="center" wrapText="1"/>
    </xf>
    <xf numFmtId="9" fontId="22" fillId="0" borderId="8" xfId="0" applyNumberFormat="1" applyFont="1" applyBorder="1" applyAlignment="1">
      <alignment horizontal="left" vertical="center" wrapText="1"/>
    </xf>
    <xf numFmtId="0" fontId="1" fillId="0" borderId="2" xfId="0" applyFont="1" applyBorder="1" applyAlignment="1">
      <alignment horizontal="left"/>
    </xf>
    <xf numFmtId="0" fontId="1" fillId="0" borderId="3" xfId="0" applyFont="1" applyBorder="1" applyAlignment="1">
      <alignment horizontal="left"/>
    </xf>
    <xf numFmtId="0" fontId="1" fillId="0" borderId="8" xfId="0" applyFont="1" applyBorder="1" applyAlignment="1">
      <alignment horizontal="left"/>
    </xf>
    <xf numFmtId="0" fontId="7" fillId="0" borderId="2" xfId="1" applyBorder="1" applyAlignment="1">
      <alignment horizontal="left" vertical="center"/>
    </xf>
    <xf numFmtId="0" fontId="7" fillId="0" borderId="3" xfId="1" applyBorder="1" applyAlignment="1">
      <alignment horizontal="left" vertical="center"/>
    </xf>
    <xf numFmtId="0" fontId="7" fillId="0" borderId="8" xfId="1" applyBorder="1" applyAlignment="1">
      <alignment horizontal="left" vertical="center"/>
    </xf>
    <xf numFmtId="0" fontId="1" fillId="0" borderId="2" xfId="0" applyFont="1" applyBorder="1" applyAlignment="1">
      <alignment horizontal="left" vertical="top"/>
    </xf>
    <xf numFmtId="0" fontId="1" fillId="0" borderId="8" xfId="0" applyFont="1" applyBorder="1" applyAlignment="1">
      <alignment horizontal="left" vertical="top"/>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1" fillId="5" borderId="8" xfId="0" applyFont="1" applyFill="1" applyBorder="1" applyAlignment="1">
      <alignment horizontal="left" vertical="center"/>
    </xf>
    <xf numFmtId="0" fontId="9" fillId="0" borderId="0" xfId="0" applyFont="1" applyAlignment="1">
      <alignment horizontal="center" vertical="top"/>
    </xf>
    <xf numFmtId="0" fontId="9" fillId="6" borderId="14" xfId="0" applyFont="1" applyFill="1" applyBorder="1" applyAlignment="1">
      <alignment horizontal="left" vertical="center"/>
    </xf>
    <xf numFmtId="0" fontId="9" fillId="6" borderId="15" xfId="0" applyFont="1" applyFill="1" applyBorder="1" applyAlignment="1">
      <alignment horizontal="left" vertical="center"/>
    </xf>
    <xf numFmtId="0" fontId="9" fillId="6" borderId="16" xfId="0" applyFont="1" applyFill="1" applyBorder="1" applyAlignment="1">
      <alignment horizontal="left" vertic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3" fillId="7" borderId="1" xfId="0" applyFont="1" applyFill="1" applyBorder="1" applyAlignment="1">
      <alignment horizontal="left" vertical="top"/>
    </xf>
    <xf numFmtId="0" fontId="1" fillId="0" borderId="3" xfId="0" applyFont="1" applyBorder="1" applyAlignment="1">
      <alignment horizontal="lef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8" xfId="0" applyFont="1" applyBorder="1" applyAlignment="1">
      <alignment horizontal="left" vertical="top" wrapText="1"/>
    </xf>
    <xf numFmtId="0" fontId="15" fillId="0" borderId="4" xfId="0" applyFont="1" applyBorder="1" applyAlignment="1">
      <alignment horizontal="left" vertical="top"/>
    </xf>
    <xf numFmtId="0" fontId="15" fillId="0" borderId="17" xfId="0" applyFont="1" applyBorder="1" applyAlignment="1">
      <alignment horizontal="left" vertical="top"/>
    </xf>
    <xf numFmtId="0" fontId="15" fillId="0" borderId="5" xfId="0" applyFont="1" applyBorder="1" applyAlignment="1">
      <alignment horizontal="left" vertical="top"/>
    </xf>
    <xf numFmtId="0" fontId="2" fillId="7" borderId="4" xfId="0" applyFont="1" applyFill="1" applyBorder="1" applyAlignment="1">
      <alignment horizontal="left" vertical="top"/>
    </xf>
    <xf numFmtId="0" fontId="2" fillId="7" borderId="17" xfId="0" applyFont="1" applyFill="1" applyBorder="1" applyAlignment="1">
      <alignment horizontal="left" vertical="top"/>
    </xf>
    <xf numFmtId="0" fontId="2" fillId="7" borderId="5" xfId="0" applyFont="1" applyFill="1" applyBorder="1" applyAlignment="1">
      <alignment horizontal="left" vertical="top"/>
    </xf>
    <xf numFmtId="0" fontId="15" fillId="0" borderId="22" xfId="0" applyFont="1" applyBorder="1" applyAlignment="1">
      <alignment horizontal="left" vertical="top" wrapText="1"/>
    </xf>
    <xf numFmtId="0" fontId="15" fillId="0" borderId="17" xfId="0" applyFont="1" applyBorder="1" applyAlignment="1">
      <alignment horizontal="left" vertical="top" wrapText="1"/>
    </xf>
    <xf numFmtId="0" fontId="15" fillId="0" borderId="5" xfId="0" applyFont="1" applyBorder="1" applyAlignment="1">
      <alignment horizontal="left" vertical="top" wrapText="1"/>
    </xf>
    <xf numFmtId="0" fontId="15" fillId="0" borderId="1" xfId="0" applyFont="1" applyBorder="1" applyAlignment="1">
      <alignment horizontal="left" vertical="top" wrapText="1"/>
    </xf>
    <xf numFmtId="0" fontId="15" fillId="0" borderId="6" xfId="0" applyFont="1" applyBorder="1" applyAlignment="1">
      <alignment horizontal="left" vertical="top"/>
    </xf>
    <xf numFmtId="0" fontId="15" fillId="0" borderId="19" xfId="0" applyFont="1" applyBorder="1" applyAlignment="1">
      <alignment horizontal="left" vertical="top"/>
    </xf>
    <xf numFmtId="0" fontId="15" fillId="0" borderId="18" xfId="0" applyFont="1" applyBorder="1" applyAlignment="1">
      <alignment horizontal="left" vertical="top"/>
    </xf>
    <xf numFmtId="0" fontId="15" fillId="0" borderId="2" xfId="0" applyFont="1" applyBorder="1" applyAlignment="1">
      <alignment vertical="top" wrapText="1"/>
    </xf>
    <xf numFmtId="0" fontId="15" fillId="0" borderId="4" xfId="0" applyFont="1" applyBorder="1" applyAlignment="1">
      <alignment horizontal="left" vertical="top" wrapText="1"/>
    </xf>
    <xf numFmtId="0" fontId="1" fillId="5" borderId="4" xfId="0" applyFont="1" applyFill="1" applyBorder="1" applyAlignment="1">
      <alignment horizontal="left" vertical="top"/>
    </xf>
    <xf numFmtId="0" fontId="1" fillId="5" borderId="17" xfId="0" applyFont="1" applyFill="1" applyBorder="1" applyAlignment="1">
      <alignment horizontal="left" vertical="top"/>
    </xf>
    <xf numFmtId="0" fontId="1" fillId="5" borderId="5" xfId="0" applyFont="1" applyFill="1" applyBorder="1" applyAlignment="1">
      <alignment horizontal="left" vertical="top"/>
    </xf>
    <xf numFmtId="0" fontId="15" fillId="5" borderId="4" xfId="0" applyFont="1" applyFill="1" applyBorder="1" applyAlignment="1">
      <alignment horizontal="left"/>
    </xf>
    <xf numFmtId="0" fontId="15" fillId="5" borderId="17" xfId="0" applyFont="1" applyFill="1" applyBorder="1" applyAlignment="1">
      <alignment horizontal="left"/>
    </xf>
    <xf numFmtId="0" fontId="15" fillId="5" borderId="5" xfId="0" applyFont="1" applyFill="1" applyBorder="1" applyAlignment="1">
      <alignment horizontal="left"/>
    </xf>
    <xf numFmtId="0" fontId="1" fillId="5" borderId="4" xfId="0" applyFont="1" applyFill="1" applyBorder="1" applyAlignment="1">
      <alignment horizontal="left"/>
    </xf>
    <xf numFmtId="0" fontId="1" fillId="5" borderId="17" xfId="0" applyFont="1" applyFill="1" applyBorder="1" applyAlignment="1">
      <alignment horizontal="left"/>
    </xf>
    <xf numFmtId="0" fontId="1" fillId="5" borderId="5" xfId="0" applyFont="1" applyFill="1" applyBorder="1" applyAlignment="1">
      <alignment horizontal="left"/>
    </xf>
    <xf numFmtId="0" fontId="4" fillId="0" borderId="0" xfId="0" applyFont="1" applyAlignment="1">
      <alignment horizontal="left" vertical="top" wrapText="1"/>
    </xf>
    <xf numFmtId="0" fontId="1" fillId="0" borderId="0" xfId="0" applyFont="1" applyAlignment="1">
      <alignment horizontal="left" vertical="top" wrapText="1"/>
    </xf>
    <xf numFmtId="0" fontId="1" fillId="5" borderId="2"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5" borderId="8" xfId="0" applyFont="1" applyFill="1" applyBorder="1" applyAlignment="1">
      <alignment horizontal="left" vertical="top" wrapText="1"/>
    </xf>
    <xf numFmtId="0" fontId="2" fillId="7" borderId="22" xfId="0" applyFont="1" applyFill="1" applyBorder="1" applyAlignment="1">
      <alignment horizontal="left" vertical="top"/>
    </xf>
    <xf numFmtId="0" fontId="2" fillId="7" borderId="7" xfId="0" applyFont="1" applyFill="1" applyBorder="1" applyAlignment="1">
      <alignment horizontal="left" vertical="top"/>
    </xf>
    <xf numFmtId="0" fontId="15" fillId="5" borderId="2" xfId="0" applyFont="1" applyFill="1" applyBorder="1" applyAlignment="1">
      <alignment horizontal="left" vertical="top"/>
    </xf>
    <xf numFmtId="0" fontId="15" fillId="5" borderId="6" xfId="0" applyFont="1" applyFill="1" applyBorder="1" applyAlignment="1">
      <alignment horizontal="left" vertical="top"/>
    </xf>
    <xf numFmtId="0" fontId="1" fillId="5" borderId="2" xfId="0" applyFont="1" applyFill="1" applyBorder="1" applyAlignment="1">
      <alignment horizontal="left" vertical="top"/>
    </xf>
    <xf numFmtId="0" fontId="1" fillId="5" borderId="3" xfId="0" applyFont="1" applyFill="1" applyBorder="1" applyAlignment="1">
      <alignment horizontal="left" vertical="top"/>
    </xf>
    <xf numFmtId="0" fontId="1" fillId="0" borderId="4" xfId="0" applyFont="1" applyBorder="1" applyAlignment="1">
      <alignment horizontal="left" vertical="top" wrapText="1"/>
    </xf>
    <xf numFmtId="0" fontId="1" fillId="0" borderId="17"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xf>
    <xf numFmtId="0" fontId="1" fillId="0" borderId="17" xfId="0" applyFont="1" applyBorder="1" applyAlignment="1">
      <alignment horizontal="left" vertical="top"/>
    </xf>
    <xf numFmtId="0" fontId="1" fillId="0" borderId="5" xfId="0" applyFont="1" applyBorder="1" applyAlignment="1">
      <alignment horizontal="left" vertical="top"/>
    </xf>
    <xf numFmtId="0" fontId="15" fillId="0" borderId="1" xfId="0" applyFont="1" applyBorder="1" applyAlignment="1">
      <alignment horizontal="left" vertical="top"/>
    </xf>
    <xf numFmtId="0" fontId="15" fillId="0" borderId="1" xfId="0" applyFont="1" applyBorder="1" applyAlignment="1">
      <alignment horizontal="left"/>
    </xf>
    <xf numFmtId="0" fontId="15" fillId="0" borderId="1" xfId="0" applyFont="1" applyBorder="1" applyAlignment="1">
      <alignment vertical="top" wrapText="1"/>
    </xf>
    <xf numFmtId="0" fontId="12" fillId="6" borderId="2" xfId="0" applyFont="1" applyFill="1" applyBorder="1" applyAlignment="1">
      <alignment horizontal="left" vertical="top"/>
    </xf>
    <xf numFmtId="0" fontId="2" fillId="7" borderId="8" xfId="0" applyFont="1" applyFill="1" applyBorder="1" applyAlignment="1">
      <alignment horizontal="left" vertical="top"/>
    </xf>
    <xf numFmtId="0" fontId="2" fillId="7" borderId="1" xfId="0" applyFont="1" applyFill="1" applyBorder="1" applyAlignment="1">
      <alignment horizontal="left" vertical="top"/>
    </xf>
    <xf numFmtId="0" fontId="2" fillId="7" borderId="20" xfId="0" applyFont="1" applyFill="1" applyBorder="1" applyAlignment="1">
      <alignment horizontal="left" vertical="top"/>
    </xf>
    <xf numFmtId="0" fontId="2" fillId="7" borderId="21" xfId="0" applyFont="1" applyFill="1" applyBorder="1" applyAlignment="1">
      <alignment horizontal="left" vertical="top"/>
    </xf>
    <xf numFmtId="0" fontId="4" fillId="5" borderId="1" xfId="0" applyFont="1" applyFill="1" applyBorder="1" applyAlignment="1">
      <alignment horizontal="left" vertical="top"/>
    </xf>
    <xf numFmtId="0" fontId="4" fillId="0" borderId="1" xfId="0" applyFont="1" applyBorder="1" applyAlignment="1">
      <alignment horizontal="left" vertical="top"/>
    </xf>
    <xf numFmtId="0" fontId="1" fillId="5" borderId="1" xfId="0" applyFont="1" applyFill="1" applyBorder="1" applyAlignment="1">
      <alignment horizontal="left" vertical="top" wrapText="1"/>
    </xf>
    <xf numFmtId="0" fontId="15" fillId="5" borderId="6" xfId="0" applyFont="1" applyFill="1" applyBorder="1" applyAlignment="1">
      <alignment horizontal="left" vertical="top" wrapText="1"/>
    </xf>
    <xf numFmtId="0" fontId="15" fillId="5" borderId="19" xfId="0" applyFont="1" applyFill="1" applyBorder="1" applyAlignment="1">
      <alignment horizontal="left" vertical="top" wrapText="1"/>
    </xf>
    <xf numFmtId="0" fontId="15" fillId="5" borderId="18" xfId="0" applyFont="1" applyFill="1" applyBorder="1" applyAlignment="1">
      <alignment horizontal="left" vertical="top" wrapText="1"/>
    </xf>
    <xf numFmtId="0" fontId="2" fillId="7" borderId="6" xfId="0" applyFont="1" applyFill="1" applyBorder="1" applyAlignment="1">
      <alignment horizontal="left"/>
    </xf>
    <xf numFmtId="0" fontId="2" fillId="7" borderId="22" xfId="0" applyFont="1" applyFill="1" applyBorder="1" applyAlignment="1">
      <alignment horizontal="left"/>
    </xf>
    <xf numFmtId="0" fontId="2" fillId="7" borderId="7" xfId="0" applyFont="1" applyFill="1" applyBorder="1" applyAlignment="1">
      <alignment horizontal="left"/>
    </xf>
    <xf numFmtId="0" fontId="18" fillId="6" borderId="20" xfId="0" applyFont="1" applyFill="1" applyBorder="1" applyAlignment="1">
      <alignment horizontal="left" vertical="center" wrapText="1"/>
    </xf>
    <xf numFmtId="0" fontId="16" fillId="0" borderId="2" xfId="0" applyFont="1" applyBorder="1" applyAlignment="1">
      <alignment horizontal="left" vertical="top"/>
    </xf>
    <xf numFmtId="0" fontId="16" fillId="0" borderId="3" xfId="0" applyFont="1" applyBorder="1" applyAlignment="1">
      <alignment horizontal="left" vertical="top"/>
    </xf>
    <xf numFmtId="0" fontId="16" fillId="0" borderId="8" xfId="0" applyFont="1" applyBorder="1" applyAlignment="1">
      <alignment horizontal="left" vertical="top"/>
    </xf>
    <xf numFmtId="0" fontId="16" fillId="8" borderId="2" xfId="0" applyFont="1" applyFill="1" applyBorder="1" applyAlignment="1">
      <alignment horizontal="left" vertical="top"/>
    </xf>
    <xf numFmtId="0" fontId="16" fillId="8" borderId="3" xfId="0" applyFont="1" applyFill="1" applyBorder="1" applyAlignment="1">
      <alignment horizontal="left" vertical="top"/>
    </xf>
    <xf numFmtId="0" fontId="16" fillId="8" borderId="8" xfId="0" applyFont="1" applyFill="1" applyBorder="1" applyAlignment="1">
      <alignment horizontal="left" vertical="top"/>
    </xf>
    <xf numFmtId="0" fontId="16" fillId="0" borderId="4" xfId="0" applyFont="1" applyBorder="1" applyAlignment="1">
      <alignment horizontal="left" vertical="top"/>
    </xf>
    <xf numFmtId="0" fontId="16" fillId="0" borderId="5" xfId="0" applyFont="1" applyBorder="1" applyAlignment="1">
      <alignment horizontal="left" vertical="top"/>
    </xf>
  </cellXfs>
  <cellStyles count="2">
    <cellStyle name="Hyperlink" xfId="1" xr:uid="{00000000-000B-0000-0000-000008000000}"/>
    <cellStyle name="一般" xfId="0" builtinId="0"/>
  </cellStyles>
  <dxfs count="0"/>
  <tableStyles count="0" defaultTableStyle="TableStyleMedium2" defaultPivotStyle="PivotStyleMedium9"/>
  <colors>
    <mruColors>
      <color rgb="FFE6EBFF"/>
      <color rgb="FFE6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485775</xdr:colOff>
      <xdr:row>0</xdr:row>
      <xdr:rowOff>19050</xdr:rowOff>
    </xdr:from>
    <xdr:to>
      <xdr:col>16</xdr:col>
      <xdr:colOff>314325</xdr:colOff>
      <xdr:row>3</xdr:row>
      <xdr:rowOff>304800</xdr:rowOff>
    </xdr:to>
    <xdr:pic>
      <xdr:nvPicPr>
        <xdr:cNvPr id="2" name="圖片 1">
          <a:extLst>
            <a:ext uri="{FF2B5EF4-FFF2-40B4-BE49-F238E27FC236}">
              <a16:creationId xmlns:a16="http://schemas.microsoft.com/office/drawing/2014/main" id="{E6BD6047-D322-9C66-6FA6-B6BB59476ECD}"/>
            </a:ext>
          </a:extLst>
        </xdr:cNvPr>
        <xdr:cNvPicPr>
          <a:picLocks noChangeAspect="1"/>
        </xdr:cNvPicPr>
      </xdr:nvPicPr>
      <xdr:blipFill>
        <a:blip xmlns:r="http://schemas.openxmlformats.org/officeDocument/2006/relationships" r:embed="rId1"/>
        <a:srcRect l="12824" r="22845"/>
        <a:stretch>
          <a:fillRect/>
        </a:stretch>
      </xdr:blipFill>
      <xdr:spPr>
        <a:xfrm>
          <a:off x="9429750" y="19050"/>
          <a:ext cx="8743950" cy="4562475"/>
        </a:xfrm>
        <a:prstGeom prst="rect">
          <a:avLst/>
        </a:prstGeom>
      </xdr:spPr>
    </xdr:pic>
    <xdr:clientData/>
  </xdr:twoCellAnchor>
  <xdr:twoCellAnchor editAs="oneCell">
    <xdr:from>
      <xdr:col>3</xdr:col>
      <xdr:colOff>485775</xdr:colOff>
      <xdr:row>3</xdr:row>
      <xdr:rowOff>276225</xdr:rowOff>
    </xdr:from>
    <xdr:to>
      <xdr:col>16</xdr:col>
      <xdr:colOff>295275</xdr:colOff>
      <xdr:row>11</xdr:row>
      <xdr:rowOff>914400</xdr:rowOff>
    </xdr:to>
    <xdr:pic>
      <xdr:nvPicPr>
        <xdr:cNvPr id="3" name="圖片 2">
          <a:extLst>
            <a:ext uri="{FF2B5EF4-FFF2-40B4-BE49-F238E27FC236}">
              <a16:creationId xmlns:a16="http://schemas.microsoft.com/office/drawing/2014/main" id="{0AB7AAD1-2CD8-60D7-6462-AA55A04034D8}"/>
            </a:ext>
            <a:ext uri="{147F2762-F138-4A5C-976F-8EAC2B608ADB}">
              <a16:predDERef xmlns:a16="http://schemas.microsoft.com/office/drawing/2014/main" pred="{E6BD6047-D322-9C66-6FA6-B6BB59476ECD}"/>
            </a:ext>
          </a:extLst>
        </xdr:cNvPr>
        <xdr:cNvPicPr>
          <a:picLocks noChangeAspect="1"/>
        </xdr:cNvPicPr>
      </xdr:nvPicPr>
      <xdr:blipFill>
        <a:blip xmlns:r="http://schemas.openxmlformats.org/officeDocument/2006/relationships" r:embed="rId2"/>
        <a:srcRect l="8770" t="13708" r="16135"/>
        <a:stretch>
          <a:fillRect/>
        </a:stretch>
      </xdr:blipFill>
      <xdr:spPr>
        <a:xfrm>
          <a:off x="9429750" y="4552950"/>
          <a:ext cx="8724900" cy="4676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e Tan (陳俊光)" id="{404E82F6-B4E1-4F4F-86A0-56BBC3B0C760}" userId="dave.tan@phrozen3d.com" providerId="PeoplePicker"/>
  <person displayName="Yvonne Su (蘇怡靜)" id="{8F1B9DD1-0BD7-40D3-B861-7B84E6834509}" userId="Yvonne.Su@phrozen3d.com" providerId="PeoplePicker"/>
  <person displayName="Ray Wu (吳彝任)" id="{DC62F226-F8A9-4008-8FCE-BA78C5E7AD33}" userId="S::ray.wu@phrozen3d.com::41a46f98-37d7-4226-93f1-8541795fb3de" providerId="AD"/>
  <person displayName="Dave Tan (陳俊光)" id="{985B6EFD-0126-40A4-8782-181B24219A1E}" userId="S::dave.tan@phrozen3d.com::74fa9ba8-f3a7-419b-bba9-fa70fe672a15" providerId="AD"/>
  <person displayName="Yvonne Su (蘇怡靜)" id="{651D1C1F-000C-4DEB-82CA-2B2CFB98E586}" userId="S::yvonne.su@phrozen3d.com::93df5c90-4a21-4cc8-95ee-d0eee037ea6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1-02T05:06:34.23" personId="{DC62F226-F8A9-4008-8FCE-BA78C5E7AD33}" id="{A11D4758-C295-4555-9F18-37743679FE1D}" done="1">
    <text>先用內部名稱吧</text>
  </threadedComment>
  <threadedComment ref="B2" dT="2026-01-02T10:27:36.86" personId="{651D1C1F-000C-4DEB-82CA-2B2CFB98E586}" id="{3EA9DFB1-9677-41A8-BF3F-861ABEF5C278}" parentId="{A11D4758-C295-4555-9F18-37743679FE1D}">
    <text>收到，先暫緩請行銷部處理命名事項。</text>
  </threadedComment>
  <threadedComment ref="B2" dT="2026-01-05T10:23:00.44" personId="{DC62F226-F8A9-4008-8FCE-BA78C5E7AD33}" id="{3FDBCC64-4B90-4173-BF39-F22C362AD237}" parentId="{A11D4758-C295-4555-9F18-37743679FE1D}">
    <text>感謝</text>
  </threadedComment>
  <threadedComment ref="B3" dT="2026-01-02T05:07:29.34" personId="{DC62F226-F8A9-4008-8FCE-BA78C5E7AD33}" id="{2FD9F517-5707-4988-9557-AF26966C7B2F}">
    <text>@Dave Tan (陳俊光) 請查看此產品專案， Yvonne是我們軟體產品PM，正在規劃dental slicer</text>
    <mentions>
      <mention mentionpersonId="{404E82F6-B4E1-4F4F-86A0-56BBC3B0C760}" mentionId="{96EB875C-36DA-4C22-A446-B4B2ACF67EEB}" startIndex="0" length="15"/>
    </mentions>
  </threadedComment>
  <threadedComment ref="B3" dT="2026-01-02T05:15:47.91" personId="{985B6EFD-0126-40A4-8782-181B24219A1E}" id="{E528139C-97FD-48B4-BEA4-83AE2E1A7910}" parentId="{2FD9F517-5707-4988-9557-AF26966C7B2F}">
    <text>所以Mac 版本會放棄嗎？</text>
  </threadedComment>
  <threadedComment ref="B3" dT="2026-01-05T10:23:48.59" personId="{DC62F226-F8A9-4008-8FCE-BA78C5E7AD33}" id="{4EC1964F-0C3E-4092-A263-9173195EF52B}" parentId="{2FD9F517-5707-4988-9557-AF26966C7B2F}">
    <text>Web Slicer就是用瀏覽器打開，沒有Mac或Win的問題。
你是在問DS Slicer嗎? DS Slicer是品印處理，目前暫時沒有更新。</text>
  </threadedComment>
  <threadedComment ref="B3" dT="2026-01-06T01:32:46.68" personId="{985B6EFD-0126-40A4-8782-181B24219A1E}" id="{9AF6A526-577A-4073-B6DD-AE1B136B1496}" parentId="{2FD9F517-5707-4988-9557-AF26966C7B2F}">
    <text xml:space="preserve">是的，我是在問這個我們的DS Slicer還會不會有Mac版本。
因為如果現在有了web base的Slicer. Mac 應該也可以直接用Webbase Slicer. 這樣子我就叫Eros，不要再測試DS Slicer Mac version
</text>
  </threadedComment>
  <threadedComment ref="B9" dT="2026-01-02T05:08:36.26" personId="{DC62F226-F8A9-4008-8FCE-BA78C5E7AD33}" id="{4AC5B07F-50C7-4B37-A35F-94F4203FD6AE}">
    <text>@Yvonne Su (蘇怡靜) 沒考慮公有雲 如AWS?</text>
    <mentions>
      <mention mentionpersonId="{8F1B9DD1-0BD7-40D3-B861-7B84E6834509}" mentionId="{A874716C-5C1E-42D1-AA7C-FB1C8E753547}" startIndex="0" length="16"/>
    </mentions>
  </threadedComment>
  <threadedComment ref="B9" dT="2026-01-02T10:30:47.12" personId="{651D1C1F-000C-4DEB-82CA-2B2CFB98E586}" id="{0140A25D-D2DB-49EE-91A2-6C3F896BD533}" parentId="{4AC5B07F-50C7-4B37-A35F-94F4203FD6AE}">
    <text>目前是規劃使用AWS，成本關鍵在上傳檔案流量。模型檔案不小，應該會是一筆成本。需要評估。</text>
  </threadedComment>
  <threadedComment ref="B9" dT="2026-01-05T10:23:57.44" personId="{DC62F226-F8A9-4008-8FCE-BA78C5E7AD33}" id="{2A9728DF-1D67-4778-8E3D-65057C458516}" parentId="{4AC5B07F-50C7-4B37-A35F-94F4203FD6AE}">
    <text>ok，可以的話可以給我一個試算，大概就好。</text>
  </threadedComment>
  <threadedComment ref="B11" dT="2026-01-02T05:10:19.55" personId="{DC62F226-F8A9-4008-8FCE-BA78C5E7AD33}" id="{F51A42FA-B153-41FE-B70F-A973D50E3A36}">
    <text>網域要討論，因為Dental一般不喜歡跟我們消費機混在一起，所以最好獨立申請一個網域，但後續管理問題需要討論一下。</text>
  </threadedComment>
</ThreadedComments>
</file>

<file path=xl/threadedComments/threadedComment2.xml><?xml version="1.0" encoding="utf-8"?>
<ThreadedComments xmlns="http://schemas.microsoft.com/office/spreadsheetml/2018/threadedcomments" xmlns:x="http://schemas.openxmlformats.org/spreadsheetml/2006/main">
  <threadedComment ref="B8" dT="2026-01-02T05:12:00.94" personId="{DC62F226-F8A9-4008-8FCE-BA78C5E7AD33}" id="{78EE68D1-B195-4F59-8E10-6E596D0B3E7A}">
    <text>自動支撐這個風險最大，也是核心體驗，要追緊一點</text>
  </threadedComment>
  <threadedComment ref="B8" dT="2026-01-02T10:23:49.06" personId="{651D1C1F-000C-4DEB-82CA-2B2CFB98E586}" id="{7B5F6B37-8666-4F6D-BF22-9982965ACCF5}" parentId="{78EE68D1-B195-4F59-8E10-6E596D0B3E7A}">
    <text>下週會再寫出細項目，確認進度。</text>
  </threadedComment>
  <threadedComment ref="B8" dT="2026-01-05T10:22:11.28" personId="{DC62F226-F8A9-4008-8FCE-BA78C5E7AD33}" id="{B0ADF32F-D952-4BE6-BC5C-962FDFCE8916}" parentId="{78EE68D1-B195-4F59-8E10-6E596D0B3E7A}">
    <text>收到，可以在1-1更新給我</text>
  </threadedComment>
  <threadedComment ref="B9" dT="2026-01-02T05:12:38.94" personId="{DC62F226-F8A9-4008-8FCE-BA78C5E7AD33}" id="{E7A635C7-3D1D-46F4-AC22-DD8F0819BB5E}">
    <text>列印參數的後台管理，可能要討論，因為最後會是材料測試部 或 牙技師Eros在使用。</text>
  </threadedComment>
  <threadedComment ref="B9" dT="2026-01-02T10:26:44.34" personId="{651D1C1F-000C-4DEB-82CA-2B2CFB98E586}" id="{121A20D8-5CFA-4A69-869C-F8AD24F9BF11}" parentId="{E7A635C7-3D1D-46F4-AC22-DD8F0819BB5E}">
    <text>目前上半年本地運算版本是會直接帶入列印參數(使用者仍可自行調整)。下半年改成線上雲端運算後，後臺求(需有欄位、管理方式)，會再跟大家確認。</text>
  </threadedComment>
  <threadedComment ref="B9" dT="2026-01-05T10:22:33.76" personId="{DC62F226-F8A9-4008-8FCE-BA78C5E7AD33}" id="{F960300F-83C4-45C5-AFC1-1C03D549B2D9}" parentId="{E7A635C7-3D1D-46F4-AC22-DD8F0819BB5E}">
    <text>好的，這讓你追蹤，謝謝。</text>
  </threadedComment>
</ThreadedComments>
</file>

<file path=xl/threadedComments/threadedComment3.xml><?xml version="1.0" encoding="utf-8"?>
<ThreadedComments xmlns="http://schemas.microsoft.com/office/spreadsheetml/2018/threadedcomments" xmlns:x="http://schemas.openxmlformats.org/spreadsheetml/2006/main">
  <threadedComment ref="E39" dT="2026-01-02T05:12:00.94" personId="{DC62F226-F8A9-4008-8FCE-BA78C5E7AD33}" id="{6475C696-3249-42D1-9330-1D30B81E554E}">
    <text>自動支撐這個風險最大，也是核心體驗，要追緊一點</text>
  </threadedComment>
  <threadedComment ref="E39" dT="2026-01-02T10:23:49.06" personId="{651D1C1F-000C-4DEB-82CA-2B2CFB98E586}" id="{2667682C-5933-4EE9-840A-7309B3C79D0C}" parentId="{6475C696-3249-42D1-9330-1D30B81E554E}">
    <text>下週會再寫出細項目，確認進度。</text>
  </threadedComment>
  <threadedComment ref="E43" dT="2026-01-02T05:12:00.94" personId="{DC62F226-F8A9-4008-8FCE-BA78C5E7AD33}" id="{76243F6E-8D4E-421D-A463-C4426D1D4141}">
    <text>自動支撐這個風險最大，也是核心體驗，要追緊一點</text>
  </threadedComment>
  <threadedComment ref="E43" dT="2026-01-02T10:23:49.06" personId="{651D1C1F-000C-4DEB-82CA-2B2CFB98E586}" id="{A769E823-72FB-415E-B789-E73466475719}" parentId="{76243F6E-8D4E-421D-A463-C4426D1D4141}">
    <text>下週會再寫出細項目，確認進度。</text>
  </threadedComment>
  <threadedComment ref="E45" dT="2026-01-02T05:12:00.94" personId="{DC62F226-F8A9-4008-8FCE-BA78C5E7AD33}" id="{3990519A-1E78-40C9-8A15-11EF2AE6126E}">
    <text>自動支撐這個風險最大，也是核心體驗，要追緊一點</text>
  </threadedComment>
  <threadedComment ref="E45" dT="2026-01-02T10:23:49.06" personId="{651D1C1F-000C-4DEB-82CA-2B2CFB98E586}" id="{3DEF5240-FDB3-4128-8B3E-0C126A3458D3}" parentId="{3990519A-1E78-40C9-8A15-11EF2AE6126E}">
    <text>下週會再寫出細項目，確認進度。</text>
  </threadedComment>
  <threadedComment ref="D55" dT="2026-01-02T05:12:38.94" personId="{DC62F226-F8A9-4008-8FCE-BA78C5E7AD33}" id="{1BFE6441-DBA7-4A0D-8E19-7B54D0485EC6}">
    <text>列印參數的後台管理，可能要討論，因為最後會是材料測試部 或 牙技師Eros在使用。</text>
  </threadedComment>
  <threadedComment ref="D55" dT="2026-01-02T10:26:44.34" personId="{651D1C1F-000C-4DEB-82CA-2B2CFB98E586}" id="{93539932-B504-4B8B-B116-E6F73497AD8F}" parentId="{1BFE6441-DBA7-4A0D-8E19-7B54D0485EC6}">
    <text>目前上半年本地運算版本是會直接帶入列印參數(使用者仍可自行調整)。下半年改成線上雲端運算後，後臺求(需有欄位、管理方式)，會再跟大家確認。</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phrozen3d-my.sharepoint.com/:x:/p/tommy_huang/IQBhtOlsuotVQbBxPf327mi6AZyrHUbLiL13w63FyTIMfKI?wdOrigin=TEAMS-MAGLEV.null_ns.rwc&amp;wdExp=TEAMS-TREATMENT&amp;wdhostclicktime=1771999754201&amp;web=1" TargetMode="External"/><Relationship Id="rId7" Type="http://schemas.microsoft.com/office/2017/10/relationships/threadedComment" Target="../threadedComments/threadedComment1.xml"/><Relationship Id="rId2" Type="http://schemas.openxmlformats.org/officeDocument/2006/relationships/hyperlink" Target="https://phrozen3d-my.sharepoint.com/:x:/r/personal/vance_wang_phrozen3d_com/_layouts/15/Doc2.aspx?action=edit&amp;sourcedoc=%7B8b444c33-d240-5c4b-3ab2-80003b4f58cd%7D&amp;wdOrigin=TEAMS-MAGLEV.undefined_ns.rwc&amp;wdExp=TEAMS-TREATMENT&amp;wdhostclicktime=1767770219550&amp;web=1" TargetMode="External"/><Relationship Id="rId1" Type="http://schemas.openxmlformats.org/officeDocument/2006/relationships/hyperlink" Target="https://dentalslice.onrender.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otion.so/Feature-aws-server-cost-2f06cb2b963780869e61d55f075ec9f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notion.so/2-2dc6cb2b963780179447edf884d9a4cf?v=2786cb2b963781689113000c23bf9a75&amp;source=copy_link" TargetMode="External"/><Relationship Id="rId13" Type="http://schemas.microsoft.com/office/2017/10/relationships/threadedComment" Target="../threadedComments/threadedComment3.xml"/><Relationship Id="rId3" Type="http://schemas.openxmlformats.org/officeDocument/2006/relationships/hyperlink" Target="https://www.notion.so/Feature-4-2-Hollowing-2766cb2b9637803ab7c7e1715cc20caa?v=2786cb2b963781669b9d000cb7ef01bf&amp;source=copy_link" TargetMode="External"/><Relationship Id="rId7" Type="http://schemas.openxmlformats.org/officeDocument/2006/relationships/hyperlink" Target="https://www.notion.so/Improve-2d16cb2b9637805dac6bff9ff660c00b?v=2786cb2b963781689113000c23bf9a75&amp;source=copy_link" TargetMode="External"/><Relationship Id="rId12" Type="http://schemas.openxmlformats.org/officeDocument/2006/relationships/comments" Target="../comments3.xml"/><Relationship Id="rId2" Type="http://schemas.openxmlformats.org/officeDocument/2006/relationships/hyperlink" Target="https://www.notion.so/X-2ce6cb2b963780d190f1fec4522231d0?v=2786cb2b96378155a2dc000cf7851891&amp;source=copy_link" TargetMode="External"/><Relationship Id="rId1" Type="http://schemas.openxmlformats.org/officeDocument/2006/relationships/hyperlink" Target="https://www.notion.so/Prusa-console-2ed6cb2b9637805f923ced1e71a33505?v=2786cb2b963781698f45000c7c7d7fbd&amp;source=copy_link" TargetMode="External"/><Relationship Id="rId6" Type="http://schemas.openxmlformats.org/officeDocument/2006/relationships/hyperlink" Target="https://www.notion.so/Feature-UI-2c36cb2b963780dda70af0e01324d52e?v=2786cb2b963781689113000c23bf9a75&amp;source=copy_link" TargetMode="External"/><Relationship Id="rId11" Type="http://schemas.openxmlformats.org/officeDocument/2006/relationships/vmlDrawing" Target="../drawings/vmlDrawing3.vml"/><Relationship Id="rId5" Type="http://schemas.openxmlformats.org/officeDocument/2006/relationships/hyperlink" Target="https://www.notion.so/Feature-Base-Raft-Build-Plate-Preparation-2df6cb2b9637808fa41ee63604aca6e2?v=2786cb2b96378155a2dc000cf7851891&amp;source=copy_link" TargetMode="External"/><Relationship Id="rId10" Type="http://schemas.openxmlformats.org/officeDocument/2006/relationships/hyperlink" Target="https://www.notion.so/mesh-2e36cb2b963780c6b965e5bef4b1d8bd?v=2786cb2b963781669b9d000cb7ef01bf&amp;source=copy_link" TargetMode="External"/><Relationship Id="rId4" Type="http://schemas.openxmlformats.org/officeDocument/2006/relationships/hyperlink" Target="https://www.notion.so/Feature-Filling-Internal-Structure-for-2df6cb2b9637807e9097c722918d4a42?v=2786cb2b963781669b9d000cb7ef01bf&amp;source=copy_link" TargetMode="External"/><Relationship Id="rId9" Type="http://schemas.openxmlformats.org/officeDocument/2006/relationships/hyperlink" Target="https://www.notion.so/2ce6cb2b963780c18351d416061231a0?v=2786cb2b9637816494c6000cd07075cb&amp;source=copy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otion.so/Feature-2-2-2ed6cb2b963780d892b1d1dea6a7dd5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otion.so/2f76cb2b96378063918aede70f04941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6A23-AB4C-4044-BF1D-2DBD007F7129}">
  <dimension ref="A1:B13"/>
  <sheetViews>
    <sheetView topLeftCell="B4" workbookViewId="0">
      <selection activeCell="Q10" sqref="Q10"/>
    </sheetView>
  </sheetViews>
  <sheetFormatPr defaultRowHeight="15.75"/>
  <cols>
    <col min="1" max="1" width="17.125" style="1" customWidth="1"/>
    <col min="2" max="2" width="92" style="1" customWidth="1"/>
    <col min="3" max="16384" width="9" style="1"/>
  </cols>
  <sheetData>
    <row r="1" spans="1:2">
      <c r="A1" s="8" t="s">
        <v>0</v>
      </c>
      <c r="B1" s="8" t="s">
        <v>1</v>
      </c>
    </row>
    <row r="2" spans="1:2" ht="16.5">
      <c r="A2" s="8" t="s">
        <v>2</v>
      </c>
      <c r="B2" s="8" t="s">
        <v>3</v>
      </c>
    </row>
    <row r="3" spans="1:2" ht="304.5" customHeight="1">
      <c r="A3" s="8" t="s">
        <v>4</v>
      </c>
      <c r="B3" s="8" t="s">
        <v>5</v>
      </c>
    </row>
    <row r="4" spans="1:2" ht="24.75" customHeight="1">
      <c r="A4" s="8" t="s">
        <v>6</v>
      </c>
      <c r="B4" s="8" t="s">
        <v>7</v>
      </c>
    </row>
    <row r="5" spans="1:2" ht="16.5">
      <c r="A5" s="8" t="s">
        <v>8</v>
      </c>
      <c r="B5" s="8" t="s">
        <v>9</v>
      </c>
    </row>
    <row r="6" spans="1:2">
      <c r="A6" s="8" t="s">
        <v>10</v>
      </c>
      <c r="B6" s="33" t="s">
        <v>11</v>
      </c>
    </row>
    <row r="7" spans="1:2">
      <c r="A7" s="8" t="s">
        <v>12</v>
      </c>
      <c r="B7" s="8" t="s">
        <v>13</v>
      </c>
    </row>
    <row r="8" spans="1:2" ht="106.5" customHeight="1">
      <c r="A8" s="8" t="s">
        <v>14</v>
      </c>
      <c r="B8" s="8" t="s">
        <v>15</v>
      </c>
    </row>
    <row r="9" spans="1:2" ht="46.5" customHeight="1">
      <c r="A9" s="8" t="s">
        <v>16</v>
      </c>
      <c r="B9" s="33" t="s">
        <v>17</v>
      </c>
    </row>
    <row r="10" spans="1:2" ht="66" customHeight="1">
      <c r="A10" s="8" t="s">
        <v>18</v>
      </c>
      <c r="B10" s="71" t="s">
        <v>19</v>
      </c>
    </row>
    <row r="11" spans="1:2" ht="26.25" customHeight="1">
      <c r="A11" s="8" t="s">
        <v>20</v>
      </c>
      <c r="B11" s="8" t="s">
        <v>21</v>
      </c>
    </row>
    <row r="12" spans="1:2" ht="78.75" customHeight="1">
      <c r="A12" s="8" t="s">
        <v>22</v>
      </c>
      <c r="B12" s="8" t="s">
        <v>23</v>
      </c>
    </row>
    <row r="13" spans="1:2" ht="17.25" customHeight="1">
      <c r="A13" s="8" t="s">
        <v>24</v>
      </c>
      <c r="B13" s="33" t="s">
        <v>25</v>
      </c>
    </row>
  </sheetData>
  <hyperlinks>
    <hyperlink ref="B6" r:id="rId1" location="/" xr:uid="{96AB3B82-9F23-4A52-B922-51F13430C6DD}"/>
    <hyperlink ref="B9" r:id="rId2" xr:uid="{3F4C9F0A-2FEC-4F26-94AE-1C7A576F9068}"/>
    <hyperlink ref="B13" r:id="rId3" xr:uid="{12033524-FE43-4E78-B523-48AD0C65F290}"/>
  </hyperlinks>
  <pageMargins left="0.7" right="0.7" top="0.75" bottom="0.75" header="0.3" footer="0.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topLeftCell="A12" workbookViewId="0">
      <selection activeCell="G20" sqref="G20"/>
    </sheetView>
  </sheetViews>
  <sheetFormatPr defaultRowHeight="15.75"/>
  <cols>
    <col min="1" max="1" width="15.5" style="1" customWidth="1"/>
    <col min="2" max="2" width="42.375" style="1" customWidth="1"/>
    <col min="3" max="3" width="19.375" style="1" customWidth="1"/>
    <col min="4" max="4" width="20.125" style="1" customWidth="1"/>
    <col min="5" max="5" width="17.75" style="1" customWidth="1"/>
    <col min="6" max="6" width="17" style="1" customWidth="1"/>
    <col min="7" max="7" width="15.125" style="1" customWidth="1"/>
    <col min="8" max="8" width="15.625" style="1" customWidth="1"/>
    <col min="9" max="9" width="21.125" style="1" customWidth="1"/>
    <col min="10" max="16384" width="9" style="1"/>
  </cols>
  <sheetData>
    <row r="1" spans="1:15">
      <c r="A1" s="9" t="s">
        <v>0</v>
      </c>
      <c r="B1" s="9" t="s">
        <v>26</v>
      </c>
      <c r="C1" s="10" t="s">
        <v>27</v>
      </c>
      <c r="D1" s="10" t="s">
        <v>28</v>
      </c>
      <c r="E1" s="10" t="s">
        <v>29</v>
      </c>
      <c r="F1" s="10" t="s">
        <v>30</v>
      </c>
      <c r="G1" s="10" t="s">
        <v>31</v>
      </c>
      <c r="H1" s="11" t="s">
        <v>32</v>
      </c>
      <c r="I1" s="4" t="s">
        <v>33</v>
      </c>
      <c r="J1" s="4" t="s">
        <v>34</v>
      </c>
      <c r="K1" s="4" t="s">
        <v>35</v>
      </c>
      <c r="L1" s="4" t="s">
        <v>36</v>
      </c>
      <c r="M1" s="4" t="s">
        <v>37</v>
      </c>
      <c r="N1" s="4" t="s">
        <v>38</v>
      </c>
      <c r="O1" s="2"/>
    </row>
    <row r="2" spans="1:15" ht="15.75" customHeight="1">
      <c r="A2" s="175" t="s">
        <v>39</v>
      </c>
      <c r="B2" s="3" t="s">
        <v>40</v>
      </c>
      <c r="C2" s="5" t="s">
        <v>41</v>
      </c>
      <c r="D2" s="3"/>
      <c r="E2" s="3"/>
      <c r="F2" s="178" t="s">
        <v>42</v>
      </c>
      <c r="G2" s="3"/>
      <c r="H2" s="181" t="s">
        <v>43</v>
      </c>
      <c r="I2" s="169" t="s">
        <v>44</v>
      </c>
      <c r="J2" s="171" t="s">
        <v>45</v>
      </c>
      <c r="K2" s="171" t="s">
        <v>46</v>
      </c>
      <c r="L2" s="3"/>
      <c r="M2" s="3"/>
      <c r="N2" s="3"/>
    </row>
    <row r="3" spans="1:15">
      <c r="A3" s="176"/>
      <c r="B3" s="3" t="s">
        <v>47</v>
      </c>
      <c r="C3" s="5" t="s">
        <v>41</v>
      </c>
      <c r="D3" s="3"/>
      <c r="E3" s="3"/>
      <c r="F3" s="179"/>
      <c r="G3" s="3"/>
      <c r="H3" s="182"/>
      <c r="I3" s="170"/>
      <c r="J3" s="172"/>
      <c r="K3" s="172"/>
      <c r="L3" s="3"/>
      <c r="M3" s="3"/>
      <c r="N3" s="3"/>
    </row>
    <row r="4" spans="1:15">
      <c r="A4" s="176"/>
      <c r="B4" s="3" t="s">
        <v>48</v>
      </c>
      <c r="C4" s="5" t="s">
        <v>49</v>
      </c>
      <c r="D4" s="3"/>
      <c r="E4" s="3"/>
      <c r="F4" s="179"/>
      <c r="G4" s="3"/>
      <c r="H4" s="182"/>
      <c r="I4" s="170"/>
      <c r="J4" s="172"/>
      <c r="K4" s="172"/>
      <c r="L4" s="3"/>
      <c r="M4" s="3"/>
      <c r="N4" s="3"/>
    </row>
    <row r="5" spans="1:15">
      <c r="A5" s="176"/>
      <c r="B5" s="3" t="s">
        <v>50</v>
      </c>
      <c r="C5" s="3"/>
      <c r="D5" s="5" t="s">
        <v>51</v>
      </c>
      <c r="E5" s="3"/>
      <c r="F5" s="179"/>
      <c r="G5" s="3"/>
      <c r="H5" s="182"/>
      <c r="I5" s="170"/>
      <c r="J5" s="172"/>
      <c r="K5" s="172"/>
      <c r="L5" s="3"/>
      <c r="M5" s="3"/>
      <c r="N5" s="3"/>
    </row>
    <row r="6" spans="1:15">
      <c r="A6" s="176"/>
      <c r="B6" s="3" t="s">
        <v>52</v>
      </c>
      <c r="C6" s="3"/>
      <c r="D6" s="3"/>
      <c r="E6" s="5" t="s">
        <v>53</v>
      </c>
      <c r="F6" s="179"/>
      <c r="G6" s="3"/>
      <c r="H6" s="182"/>
      <c r="I6" s="170"/>
      <c r="J6" s="172"/>
      <c r="K6" s="172"/>
      <c r="L6" s="3"/>
      <c r="M6" s="3"/>
      <c r="N6" s="3"/>
    </row>
    <row r="7" spans="1:15">
      <c r="A7" s="176"/>
      <c r="B7" s="3" t="s">
        <v>54</v>
      </c>
      <c r="C7" s="3"/>
      <c r="D7" s="3"/>
      <c r="E7" s="5" t="s">
        <v>53</v>
      </c>
      <c r="F7" s="179"/>
      <c r="G7" s="3"/>
      <c r="H7" s="182"/>
      <c r="I7" s="170"/>
      <c r="J7" s="172"/>
      <c r="K7" s="172"/>
      <c r="L7" s="3"/>
      <c r="M7" s="3"/>
      <c r="N7" s="3"/>
    </row>
    <row r="8" spans="1:15">
      <c r="A8" s="176"/>
      <c r="B8" s="3" t="s">
        <v>55</v>
      </c>
      <c r="C8" s="180" t="s">
        <v>56</v>
      </c>
      <c r="D8" s="180"/>
      <c r="E8" s="180"/>
      <c r="F8" s="179"/>
      <c r="G8" s="3"/>
      <c r="H8" s="182"/>
      <c r="I8" s="170"/>
      <c r="J8" s="172"/>
      <c r="K8" s="172"/>
      <c r="L8" s="3"/>
      <c r="M8" s="3"/>
      <c r="N8" s="3"/>
    </row>
    <row r="9" spans="1:15">
      <c r="A9" s="176"/>
      <c r="B9" s="3" t="s">
        <v>57</v>
      </c>
      <c r="C9" s="5" t="s">
        <v>41</v>
      </c>
      <c r="D9" s="3"/>
      <c r="E9" s="3"/>
      <c r="F9" s="179"/>
      <c r="G9" s="3"/>
      <c r="H9" s="182"/>
      <c r="I9" s="170"/>
      <c r="J9" s="172"/>
      <c r="K9" s="172"/>
      <c r="L9" s="3"/>
      <c r="M9" s="3"/>
      <c r="N9" s="3"/>
    </row>
    <row r="10" spans="1:15">
      <c r="A10" s="176"/>
      <c r="B10" s="3" t="s">
        <v>58</v>
      </c>
      <c r="C10" s="5" t="s">
        <v>41</v>
      </c>
      <c r="D10" s="3"/>
      <c r="E10" s="3"/>
      <c r="F10" s="179"/>
      <c r="G10" s="3"/>
      <c r="H10" s="182"/>
      <c r="I10" s="170"/>
      <c r="J10" s="172"/>
      <c r="K10" s="172"/>
      <c r="L10" s="3"/>
      <c r="M10" s="3"/>
      <c r="N10" s="3"/>
    </row>
    <row r="11" spans="1:15">
      <c r="A11" s="176"/>
      <c r="B11" s="3" t="s">
        <v>59</v>
      </c>
      <c r="C11" s="5" t="s">
        <v>41</v>
      </c>
      <c r="D11" s="3"/>
      <c r="E11" s="3"/>
      <c r="F11" s="179"/>
      <c r="G11" s="3"/>
      <c r="H11" s="182"/>
      <c r="I11" s="170"/>
      <c r="J11" s="172"/>
      <c r="K11" s="172"/>
      <c r="L11" s="3"/>
      <c r="M11" s="3"/>
      <c r="N11" s="3"/>
    </row>
    <row r="12" spans="1:15">
      <c r="A12" s="176"/>
      <c r="B12" s="3" t="s">
        <v>60</v>
      </c>
      <c r="C12" s="14" t="s">
        <v>41</v>
      </c>
      <c r="D12" s="3"/>
      <c r="E12" s="3"/>
      <c r="F12" s="179"/>
      <c r="G12" s="3"/>
      <c r="H12" s="182"/>
      <c r="I12" s="170"/>
      <c r="J12" s="172"/>
      <c r="K12" s="172"/>
      <c r="L12" s="3"/>
      <c r="M12" s="3"/>
      <c r="N12" s="3"/>
    </row>
    <row r="13" spans="1:15">
      <c r="A13" s="176"/>
      <c r="B13" s="12" t="s">
        <v>61</v>
      </c>
      <c r="C13" s="3"/>
      <c r="D13" s="43" t="s">
        <v>62</v>
      </c>
      <c r="E13" s="3"/>
      <c r="F13" s="179"/>
      <c r="G13" s="3"/>
      <c r="H13" s="182"/>
      <c r="I13" s="170"/>
      <c r="J13" s="172"/>
      <c r="K13" s="172"/>
      <c r="L13" s="3"/>
      <c r="M13" s="3"/>
      <c r="N13" s="3"/>
    </row>
    <row r="14" spans="1:15">
      <c r="A14" s="176"/>
      <c r="B14" s="12" t="s">
        <v>63</v>
      </c>
      <c r="C14" s="3"/>
      <c r="D14" s="13"/>
      <c r="E14" s="5" t="s">
        <v>64</v>
      </c>
      <c r="F14" s="179"/>
      <c r="G14" s="3"/>
      <c r="H14" s="182"/>
      <c r="I14" s="170"/>
      <c r="J14" s="172"/>
      <c r="K14" s="172"/>
      <c r="L14" s="3"/>
      <c r="M14" s="3"/>
      <c r="N14" s="3"/>
    </row>
    <row r="15" spans="1:15">
      <c r="A15" s="176"/>
      <c r="B15" s="12" t="s">
        <v>65</v>
      </c>
      <c r="C15" s="3"/>
      <c r="D15" s="13"/>
      <c r="E15" s="5" t="s">
        <v>64</v>
      </c>
      <c r="F15" s="179"/>
      <c r="G15" s="3"/>
      <c r="H15" s="182"/>
      <c r="I15" s="170"/>
      <c r="J15" s="172"/>
      <c r="K15" s="172"/>
      <c r="L15" s="3"/>
      <c r="M15" s="3"/>
      <c r="N15" s="3"/>
    </row>
    <row r="16" spans="1:15">
      <c r="A16" s="176"/>
      <c r="B16" s="12" t="s">
        <v>66</v>
      </c>
      <c r="C16" s="3"/>
      <c r="D16" s="13"/>
      <c r="E16" s="5" t="s">
        <v>67</v>
      </c>
      <c r="F16" s="179"/>
      <c r="G16" s="3"/>
      <c r="H16" s="183"/>
      <c r="I16" s="170"/>
      <c r="J16" s="172"/>
      <c r="K16" s="172"/>
      <c r="L16" s="3"/>
      <c r="M16" s="3"/>
      <c r="N16" s="3"/>
    </row>
    <row r="17" spans="1:14">
      <c r="A17" s="144"/>
      <c r="B17" s="12" t="s">
        <v>68</v>
      </c>
      <c r="C17" s="3"/>
      <c r="D17" s="13"/>
      <c r="E17" s="5"/>
      <c r="F17" s="34"/>
      <c r="G17" s="3"/>
      <c r="H17" s="143"/>
      <c r="I17" s="133"/>
      <c r="J17" s="142"/>
      <c r="K17" s="142"/>
      <c r="L17" s="3"/>
      <c r="M17" s="3"/>
      <c r="N17" s="3"/>
    </row>
    <row r="18" spans="1:14" ht="15.75" customHeight="1">
      <c r="A18" s="171" t="s">
        <v>69</v>
      </c>
      <c r="B18" s="3" t="s">
        <v>70</v>
      </c>
      <c r="C18" s="6" t="s">
        <v>71</v>
      </c>
      <c r="D18" s="6"/>
      <c r="E18" s="6" t="s">
        <v>72</v>
      </c>
      <c r="F18" s="3"/>
      <c r="G18" s="3"/>
      <c r="H18" s="134"/>
      <c r="I18" s="133"/>
      <c r="J18" s="136"/>
      <c r="K18" s="136"/>
      <c r="L18" s="3"/>
      <c r="M18" s="3"/>
      <c r="N18" s="3"/>
    </row>
    <row r="19" spans="1:14">
      <c r="A19" s="172"/>
      <c r="B19" s="3" t="s">
        <v>73</v>
      </c>
      <c r="C19" s="3"/>
      <c r="D19" s="3"/>
      <c r="E19" s="3"/>
      <c r="F19" s="3"/>
      <c r="G19" s="6" t="s">
        <v>74</v>
      </c>
      <c r="H19" s="134"/>
      <c r="I19" s="133"/>
      <c r="J19" s="136"/>
      <c r="K19" s="136"/>
      <c r="L19" s="3"/>
      <c r="M19" s="3"/>
      <c r="N19" s="3"/>
    </row>
    <row r="20" spans="1:14">
      <c r="A20" s="172"/>
      <c r="B20" s="3" t="s">
        <v>75</v>
      </c>
      <c r="C20" s="3"/>
      <c r="E20" s="3"/>
      <c r="F20" s="3"/>
      <c r="G20" s="6" t="s">
        <v>76</v>
      </c>
      <c r="H20" s="134"/>
      <c r="I20" s="133"/>
      <c r="J20" s="136"/>
      <c r="K20" s="136"/>
      <c r="L20" s="3"/>
      <c r="M20" s="3"/>
      <c r="N20" s="3"/>
    </row>
    <row r="21" spans="1:14">
      <c r="A21" s="172"/>
      <c r="B21" s="3" t="s">
        <v>77</v>
      </c>
      <c r="C21" s="3"/>
      <c r="E21" s="3"/>
      <c r="G21" s="6" t="s">
        <v>78</v>
      </c>
      <c r="H21" s="134"/>
      <c r="I21" s="133"/>
      <c r="J21" s="136"/>
      <c r="K21" s="136"/>
      <c r="L21" s="3"/>
      <c r="M21" s="3"/>
      <c r="N21" s="3"/>
    </row>
    <row r="22" spans="1:14">
      <c r="A22" s="172"/>
      <c r="B22" s="3" t="s">
        <v>79</v>
      </c>
      <c r="C22" s="3"/>
      <c r="D22" s="6" t="s">
        <v>80</v>
      </c>
      <c r="E22" s="3"/>
      <c r="F22" s="3"/>
      <c r="G22" s="6" t="s">
        <v>74</v>
      </c>
      <c r="H22" s="134"/>
      <c r="I22" s="133"/>
      <c r="J22" s="136"/>
      <c r="K22" s="136"/>
      <c r="L22" s="3"/>
      <c r="M22" s="3"/>
      <c r="N22" s="3"/>
    </row>
    <row r="23" spans="1:14" ht="36" customHeight="1">
      <c r="A23" s="177"/>
      <c r="B23" s="3" t="s">
        <v>81</v>
      </c>
      <c r="C23" s="6" t="s">
        <v>82</v>
      </c>
      <c r="D23" s="6" t="s">
        <v>82</v>
      </c>
      <c r="E23" s="6" t="s">
        <v>83</v>
      </c>
      <c r="F23" s="137" t="s">
        <v>84</v>
      </c>
      <c r="G23" s="173" t="s">
        <v>85</v>
      </c>
      <c r="H23" s="174"/>
      <c r="I23" s="133"/>
      <c r="J23" s="136"/>
      <c r="K23" s="136"/>
      <c r="L23" s="3"/>
      <c r="M23" s="3"/>
      <c r="N23" s="3"/>
    </row>
    <row r="24" spans="1:14">
      <c r="A24" s="15" t="s">
        <v>86</v>
      </c>
      <c r="B24" s="3" t="s">
        <v>87</v>
      </c>
      <c r="C24" s="3"/>
      <c r="D24" s="3"/>
      <c r="E24" s="3"/>
      <c r="F24" s="3"/>
      <c r="G24" s="6" t="s">
        <v>88</v>
      </c>
      <c r="H24" s="134"/>
      <c r="I24" s="133"/>
      <c r="J24" s="136"/>
      <c r="K24" s="136"/>
      <c r="L24" s="9"/>
      <c r="M24" s="9"/>
      <c r="N24" s="9"/>
    </row>
    <row r="25" spans="1:14">
      <c r="A25" s="67" t="s">
        <v>89</v>
      </c>
      <c r="B25" s="68" t="s">
        <v>90</v>
      </c>
      <c r="C25" s="9"/>
      <c r="D25" s="9"/>
      <c r="E25" s="9"/>
      <c r="F25" s="21"/>
      <c r="G25" s="21"/>
      <c r="H25" s="135"/>
      <c r="I25" s="133"/>
      <c r="J25" s="136"/>
      <c r="K25" s="136"/>
      <c r="L25" s="9"/>
      <c r="M25" s="9"/>
      <c r="N25" s="9"/>
    </row>
    <row r="26" spans="1:14">
      <c r="A26" s="26" t="s">
        <v>91</v>
      </c>
      <c r="B26" s="27" t="s">
        <v>92</v>
      </c>
      <c r="C26" s="9"/>
      <c r="D26" s="9"/>
      <c r="E26" s="9"/>
      <c r="F26" s="21"/>
      <c r="G26" s="21"/>
      <c r="H26" s="22"/>
      <c r="I26" s="7"/>
      <c r="J26" s="7"/>
      <c r="K26" s="7"/>
      <c r="L26" s="23"/>
      <c r="M26" s="9"/>
      <c r="N26" s="9"/>
    </row>
    <row r="27" spans="1:14" ht="32.25">
      <c r="A27" s="17" t="s">
        <v>93</v>
      </c>
      <c r="B27" s="19" t="s">
        <v>94</v>
      </c>
      <c r="C27" s="9"/>
      <c r="D27" s="9"/>
      <c r="E27" s="9"/>
      <c r="F27" s="9"/>
      <c r="G27" s="9"/>
      <c r="H27" s="9"/>
      <c r="I27" s="24" t="s">
        <v>95</v>
      </c>
      <c r="J27" s="25"/>
      <c r="K27" s="25"/>
      <c r="L27" s="18"/>
      <c r="M27" s="18"/>
      <c r="N27" s="18"/>
    </row>
    <row r="28" spans="1:14">
      <c r="A28" s="3" t="s">
        <v>96</v>
      </c>
      <c r="B28" s="20" t="s">
        <v>97</v>
      </c>
      <c r="C28" s="3"/>
      <c r="D28" s="3"/>
      <c r="E28" s="3"/>
      <c r="F28" s="3"/>
      <c r="G28" s="3"/>
      <c r="H28" s="3"/>
      <c r="I28" s="16" t="s">
        <v>98</v>
      </c>
      <c r="J28" s="16"/>
      <c r="K28" s="16"/>
      <c r="L28" s="16"/>
      <c r="M28" s="16"/>
      <c r="N28" s="16"/>
    </row>
  </sheetData>
  <mergeCells count="9">
    <mergeCell ref="I2:I16"/>
    <mergeCell ref="J2:J16"/>
    <mergeCell ref="K2:K16"/>
    <mergeCell ref="G23:H23"/>
    <mergeCell ref="A2:A16"/>
    <mergeCell ref="A18:A23"/>
    <mergeCell ref="F2:F16"/>
    <mergeCell ref="C8:E8"/>
    <mergeCell ref="H2:H1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0FFEB-24F8-4DB5-B32A-E52DD7F67F43}">
  <dimension ref="A1:B18"/>
  <sheetViews>
    <sheetView workbookViewId="0">
      <selection activeCell="B25" sqref="B25"/>
    </sheetView>
  </sheetViews>
  <sheetFormatPr defaultRowHeight="15"/>
  <cols>
    <col min="1" max="1" width="27.5" style="159" customWidth="1"/>
    <col min="2" max="2" width="72.375" style="159" customWidth="1"/>
    <col min="3" max="3" width="17.875" style="159" customWidth="1"/>
    <col min="4" max="4" width="18" style="159" customWidth="1"/>
    <col min="5" max="16384" width="9" style="159"/>
  </cols>
  <sheetData>
    <row r="1" spans="1:2" ht="29.25" customHeight="1">
      <c r="A1" s="161" t="s">
        <v>99</v>
      </c>
      <c r="B1" s="162" t="s">
        <v>100</v>
      </c>
    </row>
    <row r="2" spans="1:2">
      <c r="A2" s="184" t="s">
        <v>101</v>
      </c>
      <c r="B2" s="184"/>
    </row>
    <row r="3" spans="1:2">
      <c r="A3" s="159" t="s">
        <v>102</v>
      </c>
      <c r="B3" s="162"/>
    </row>
    <row r="4" spans="1:2">
      <c r="B4" s="162"/>
    </row>
    <row r="5" spans="1:2">
      <c r="A5" s="184" t="s">
        <v>103</v>
      </c>
      <c r="B5" s="184"/>
    </row>
    <row r="6" spans="1:2" ht="15.75">
      <c r="A6" s="160" t="s">
        <v>104</v>
      </c>
    </row>
    <row r="7" spans="1:2">
      <c r="A7" s="160" t="s">
        <v>105</v>
      </c>
    </row>
    <row r="8" spans="1:2">
      <c r="A8" s="160"/>
    </row>
    <row r="9" spans="1:2">
      <c r="A9" s="184" t="s">
        <v>106</v>
      </c>
      <c r="B9" s="184"/>
    </row>
    <row r="10" spans="1:2" ht="17.25" customHeight="1">
      <c r="A10" s="159" t="s">
        <v>107</v>
      </c>
      <c r="B10" s="159" t="s">
        <v>108</v>
      </c>
    </row>
    <row r="11" spans="1:2">
      <c r="A11" s="159" t="s">
        <v>109</v>
      </c>
      <c r="B11" s="159" t="s">
        <v>110</v>
      </c>
    </row>
    <row r="13" spans="1:2">
      <c r="A13" s="184" t="s">
        <v>111</v>
      </c>
      <c r="B13" s="184"/>
    </row>
    <row r="14" spans="1:2">
      <c r="A14" s="159" t="s">
        <v>112</v>
      </c>
      <c r="B14" s="159" t="s">
        <v>113</v>
      </c>
    </row>
    <row r="15" spans="1:2">
      <c r="A15" s="159" t="s">
        <v>114</v>
      </c>
      <c r="B15" s="159" t="s">
        <v>115</v>
      </c>
    </row>
    <row r="17" spans="1:2">
      <c r="A17" s="184" t="s">
        <v>116</v>
      </c>
      <c r="B17" s="184"/>
    </row>
    <row r="18" spans="1:2">
      <c r="A18" s="159" t="s">
        <v>117</v>
      </c>
    </row>
  </sheetData>
  <mergeCells count="5">
    <mergeCell ref="A5:B5"/>
    <mergeCell ref="A9:B9"/>
    <mergeCell ref="A13:B13"/>
    <mergeCell ref="A17:B17"/>
    <mergeCell ref="A2:B2"/>
  </mergeCells>
  <hyperlinks>
    <hyperlink ref="B1" r:id="rId1" xr:uid="{ED7DC1A2-3CF0-432D-B09C-E6B7EE02F59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3C26-1011-4672-872E-64EFED941D60}">
  <dimension ref="A1:T94"/>
  <sheetViews>
    <sheetView tabSelected="1" workbookViewId="0">
      <pane ySplit="1" topLeftCell="A62" activePane="bottomLeft" state="frozen"/>
      <selection pane="bottomLeft" activeCell="D74" sqref="D74"/>
    </sheetView>
  </sheetViews>
  <sheetFormatPr defaultRowHeight="15"/>
  <cols>
    <col min="2" max="2" width="38.25" customWidth="1"/>
    <col min="3" max="3" width="27.75" customWidth="1"/>
    <col min="4" max="4" width="30.375" customWidth="1"/>
    <col min="5" max="5" width="48.75" customWidth="1"/>
    <col min="6" max="6" width="8.75" customWidth="1"/>
    <col min="7" max="7" width="6" customWidth="1"/>
    <col min="8" max="8" width="13.5" customWidth="1"/>
    <col min="9" max="9" width="33.75" customWidth="1"/>
  </cols>
  <sheetData>
    <row r="1" spans="1:20" ht="15.75">
      <c r="A1" s="9" t="s">
        <v>0</v>
      </c>
      <c r="B1" s="9" t="s">
        <v>118</v>
      </c>
      <c r="C1" s="9" t="s">
        <v>119</v>
      </c>
      <c r="D1" s="9" t="s">
        <v>120</v>
      </c>
      <c r="E1" s="9" t="s">
        <v>121</v>
      </c>
      <c r="F1" s="9"/>
      <c r="G1" s="9" t="s">
        <v>122</v>
      </c>
      <c r="H1" s="9" t="s">
        <v>123</v>
      </c>
      <c r="I1" s="10" t="s">
        <v>124</v>
      </c>
      <c r="J1" s="10" t="s">
        <v>28</v>
      </c>
      <c r="K1" s="10" t="s">
        <v>29</v>
      </c>
      <c r="L1" s="10" t="s">
        <v>30</v>
      </c>
      <c r="M1" s="10" t="s">
        <v>31</v>
      </c>
      <c r="N1" s="11" t="s">
        <v>32</v>
      </c>
      <c r="O1" s="4" t="s">
        <v>33</v>
      </c>
      <c r="P1" s="4" t="s">
        <v>34</v>
      </c>
      <c r="Q1" s="4" t="s">
        <v>35</v>
      </c>
      <c r="R1" s="4" t="s">
        <v>36</v>
      </c>
      <c r="S1" s="4" t="s">
        <v>37</v>
      </c>
      <c r="T1" s="4" t="s">
        <v>38</v>
      </c>
    </row>
    <row r="2" spans="1:20" ht="15.75" customHeight="1">
      <c r="A2" s="171" t="s">
        <v>39</v>
      </c>
      <c r="B2" s="169" t="s">
        <v>125</v>
      </c>
      <c r="C2" s="29" t="s">
        <v>126</v>
      </c>
      <c r="D2" s="29"/>
      <c r="E2" s="166" t="s">
        <v>127</v>
      </c>
      <c r="F2" s="29"/>
      <c r="G2" s="30">
        <v>1</v>
      </c>
      <c r="H2" s="29" t="s">
        <v>128</v>
      </c>
      <c r="I2" s="5" t="s">
        <v>41</v>
      </c>
      <c r="J2" s="3"/>
      <c r="K2" s="3"/>
      <c r="L2" s="178" t="s">
        <v>42</v>
      </c>
      <c r="M2" s="3"/>
      <c r="N2" s="185" t="s">
        <v>43</v>
      </c>
      <c r="O2" s="169" t="s">
        <v>44</v>
      </c>
      <c r="P2" s="169" t="s">
        <v>45</v>
      </c>
      <c r="Q2" s="169" t="s">
        <v>46</v>
      </c>
      <c r="R2" s="3"/>
      <c r="S2" s="3"/>
      <c r="T2" s="3"/>
    </row>
    <row r="3" spans="1:20" ht="33">
      <c r="A3" s="172"/>
      <c r="B3" s="170"/>
      <c r="C3" s="29" t="s">
        <v>129</v>
      </c>
      <c r="D3" s="29"/>
      <c r="E3" s="8" t="s">
        <v>130</v>
      </c>
      <c r="F3" s="8"/>
      <c r="G3" s="30">
        <v>1</v>
      </c>
      <c r="H3" s="29" t="s">
        <v>128</v>
      </c>
      <c r="I3" s="5" t="s">
        <v>41</v>
      </c>
      <c r="J3" s="3"/>
      <c r="K3" s="3"/>
      <c r="L3" s="178"/>
      <c r="M3" s="3"/>
      <c r="N3" s="185"/>
      <c r="O3" s="170"/>
      <c r="P3" s="170"/>
      <c r="Q3" s="170"/>
      <c r="R3" s="3"/>
      <c r="S3" s="3"/>
      <c r="T3" s="3"/>
    </row>
    <row r="4" spans="1:20" ht="15.75">
      <c r="A4" s="172"/>
      <c r="B4" s="170"/>
      <c r="C4" s="29" t="s">
        <v>131</v>
      </c>
      <c r="D4" s="29"/>
      <c r="E4" s="29" t="s">
        <v>132</v>
      </c>
      <c r="F4" s="29"/>
      <c r="G4" s="30">
        <v>1</v>
      </c>
      <c r="H4" s="29" t="s">
        <v>128</v>
      </c>
      <c r="I4" s="5" t="s">
        <v>41</v>
      </c>
      <c r="J4" s="3"/>
      <c r="K4" s="3"/>
      <c r="L4" s="178"/>
      <c r="M4" s="3"/>
      <c r="N4" s="185"/>
      <c r="O4" s="170"/>
      <c r="P4" s="170"/>
      <c r="Q4" s="170"/>
      <c r="R4" s="3"/>
      <c r="S4" s="3"/>
      <c r="T4" s="3"/>
    </row>
    <row r="5" spans="1:20" ht="15.75">
      <c r="A5" s="172"/>
      <c r="B5" s="170"/>
      <c r="C5" s="29" t="s">
        <v>133</v>
      </c>
      <c r="D5" s="29"/>
      <c r="E5" s="29" t="s">
        <v>134</v>
      </c>
      <c r="F5" s="29"/>
      <c r="G5" s="30">
        <v>1</v>
      </c>
      <c r="H5" s="29" t="s">
        <v>128</v>
      </c>
      <c r="I5" s="5" t="s">
        <v>41</v>
      </c>
      <c r="J5" s="3"/>
      <c r="K5" s="3"/>
      <c r="L5" s="178"/>
      <c r="M5" s="3"/>
      <c r="N5" s="185"/>
      <c r="O5" s="170"/>
      <c r="P5" s="170"/>
      <c r="Q5" s="170"/>
      <c r="R5" s="3"/>
      <c r="S5" s="3"/>
      <c r="T5" s="3"/>
    </row>
    <row r="6" spans="1:20" ht="33">
      <c r="A6" s="172"/>
      <c r="B6" s="187"/>
      <c r="C6" s="29" t="s">
        <v>135</v>
      </c>
      <c r="D6" s="29"/>
      <c r="E6" s="165" t="s">
        <v>136</v>
      </c>
      <c r="F6" s="8"/>
      <c r="G6" s="30">
        <v>1</v>
      </c>
      <c r="H6" s="29" t="s">
        <v>128</v>
      </c>
      <c r="I6" s="5" t="s">
        <v>41</v>
      </c>
      <c r="J6" s="3"/>
      <c r="K6" s="3"/>
      <c r="L6" s="178"/>
      <c r="M6" s="3"/>
      <c r="N6" s="185"/>
      <c r="O6" s="170"/>
      <c r="P6" s="170"/>
      <c r="Q6" s="170"/>
      <c r="R6" s="3"/>
      <c r="S6" s="3"/>
      <c r="T6" s="3"/>
    </row>
    <row r="7" spans="1:20" ht="16.5" customHeight="1">
      <c r="A7" s="172"/>
      <c r="B7" s="169" t="s">
        <v>137</v>
      </c>
      <c r="C7" s="29" t="s">
        <v>138</v>
      </c>
      <c r="D7" s="42" t="s">
        <v>139</v>
      </c>
      <c r="E7" s="8" t="s">
        <v>140</v>
      </c>
      <c r="F7" s="8"/>
      <c r="G7" s="30">
        <v>0</v>
      </c>
      <c r="H7" s="29" t="s">
        <v>141</v>
      </c>
      <c r="I7" s="3" t="s">
        <v>142</v>
      </c>
      <c r="J7" s="3"/>
      <c r="K7" s="3"/>
      <c r="L7" s="178"/>
      <c r="M7" s="3"/>
      <c r="N7" s="185"/>
      <c r="O7" s="170"/>
      <c r="P7" s="170"/>
      <c r="Q7" s="170"/>
      <c r="R7" s="3"/>
      <c r="S7" s="3"/>
      <c r="T7" s="3"/>
    </row>
    <row r="8" spans="1:20" ht="15.75">
      <c r="A8" s="172"/>
      <c r="B8" s="170"/>
      <c r="C8" s="29" t="s">
        <v>143</v>
      </c>
      <c r="D8" s="29" t="s">
        <v>144</v>
      </c>
      <c r="E8" s="8" t="s">
        <v>140</v>
      </c>
      <c r="F8" s="8"/>
      <c r="G8" s="30">
        <v>0</v>
      </c>
      <c r="H8" s="29" t="s">
        <v>141</v>
      </c>
      <c r="I8" s="3" t="s">
        <v>142</v>
      </c>
      <c r="J8" s="3"/>
      <c r="K8" s="3"/>
      <c r="L8" s="178"/>
      <c r="M8" s="3"/>
      <c r="N8" s="185"/>
      <c r="O8" s="170"/>
      <c r="P8" s="170"/>
      <c r="Q8" s="170"/>
      <c r="R8" s="3"/>
      <c r="S8" s="3"/>
      <c r="T8" s="3"/>
    </row>
    <row r="9" spans="1:20" ht="15.75">
      <c r="A9" s="172"/>
      <c r="B9" s="170"/>
      <c r="C9" s="29"/>
      <c r="D9" s="29"/>
      <c r="E9" s="33" t="s">
        <v>145</v>
      </c>
      <c r="F9" s="8"/>
      <c r="G9" s="30">
        <v>0</v>
      </c>
      <c r="H9" s="29" t="s">
        <v>141</v>
      </c>
      <c r="I9" s="3" t="s">
        <v>142</v>
      </c>
      <c r="J9" s="3"/>
      <c r="K9" s="3"/>
      <c r="L9" s="178"/>
      <c r="M9" s="3"/>
      <c r="N9" s="185"/>
      <c r="O9" s="170"/>
      <c r="P9" s="170"/>
      <c r="Q9" s="170"/>
      <c r="R9" s="3"/>
      <c r="S9" s="3"/>
      <c r="T9" s="3"/>
    </row>
    <row r="10" spans="1:20" ht="15.75">
      <c r="A10" s="172"/>
      <c r="B10" s="170"/>
      <c r="C10" s="29"/>
      <c r="D10" s="29"/>
      <c r="E10" s="33" t="s">
        <v>146</v>
      </c>
      <c r="F10" s="8"/>
      <c r="G10" s="30">
        <v>0</v>
      </c>
      <c r="H10" s="29" t="s">
        <v>141</v>
      </c>
      <c r="I10" s="3" t="s">
        <v>142</v>
      </c>
      <c r="J10" s="3"/>
      <c r="K10" s="3"/>
      <c r="L10" s="178"/>
      <c r="M10" s="3"/>
      <c r="N10" s="185"/>
      <c r="O10" s="170"/>
      <c r="P10" s="170"/>
      <c r="Q10" s="170"/>
      <c r="R10" s="3"/>
      <c r="S10" s="3"/>
      <c r="T10" s="3"/>
    </row>
    <row r="11" spans="1:20" ht="15.75">
      <c r="A11" s="172"/>
      <c r="B11" s="170"/>
      <c r="C11" s="29"/>
      <c r="D11" s="29"/>
      <c r="E11" s="33" t="s">
        <v>147</v>
      </c>
      <c r="F11" s="8"/>
      <c r="G11" s="30">
        <v>0</v>
      </c>
      <c r="H11" s="29" t="s">
        <v>141</v>
      </c>
      <c r="I11" s="3" t="s">
        <v>142</v>
      </c>
      <c r="J11" s="3"/>
      <c r="K11" s="3"/>
      <c r="L11" s="178"/>
      <c r="M11" s="3"/>
      <c r="N11" s="185"/>
      <c r="O11" s="170"/>
      <c r="P11" s="170"/>
      <c r="Q11" s="170"/>
      <c r="R11" s="3"/>
      <c r="S11" s="3"/>
      <c r="T11" s="3"/>
    </row>
    <row r="12" spans="1:20" ht="15.75">
      <c r="A12" s="172"/>
      <c r="B12" s="170"/>
      <c r="C12" s="29"/>
      <c r="D12" s="29"/>
      <c r="E12" s="33" t="s">
        <v>148</v>
      </c>
      <c r="F12" s="8"/>
      <c r="G12" s="30">
        <v>0</v>
      </c>
      <c r="H12" s="29" t="s">
        <v>141</v>
      </c>
      <c r="I12" s="3" t="s">
        <v>142</v>
      </c>
      <c r="J12" s="3"/>
      <c r="K12" s="3"/>
      <c r="L12" s="178"/>
      <c r="M12" s="3"/>
      <c r="N12" s="185"/>
      <c r="O12" s="170"/>
      <c r="P12" s="170"/>
      <c r="Q12" s="170"/>
      <c r="R12" s="3"/>
      <c r="S12" s="3"/>
      <c r="T12" s="3"/>
    </row>
    <row r="13" spans="1:20" ht="15.75">
      <c r="A13" s="172"/>
      <c r="B13" s="170"/>
      <c r="C13" s="29" t="s">
        <v>149</v>
      </c>
      <c r="D13" s="29" t="s">
        <v>150</v>
      </c>
      <c r="E13" s="8"/>
      <c r="F13" s="8"/>
      <c r="G13" s="30">
        <v>1</v>
      </c>
      <c r="H13" s="29" t="s">
        <v>128</v>
      </c>
      <c r="I13" s="5" t="s">
        <v>41</v>
      </c>
      <c r="J13" s="3"/>
      <c r="K13" s="3"/>
      <c r="L13" s="178"/>
      <c r="M13" s="3"/>
      <c r="N13" s="185"/>
      <c r="O13" s="170"/>
      <c r="P13" s="170"/>
      <c r="Q13" s="170"/>
      <c r="R13" s="3"/>
      <c r="S13" s="3"/>
      <c r="T13" s="3"/>
    </row>
    <row r="14" spans="1:20" ht="51" customHeight="1">
      <c r="A14" s="172"/>
      <c r="B14" s="170"/>
      <c r="C14" s="29" t="s">
        <v>151</v>
      </c>
      <c r="D14" s="35" t="s">
        <v>152</v>
      </c>
      <c r="E14" s="8" t="s">
        <v>153</v>
      </c>
      <c r="F14" s="8"/>
      <c r="G14" s="30">
        <v>1</v>
      </c>
      <c r="H14" s="29" t="s">
        <v>128</v>
      </c>
      <c r="I14" s="5" t="s">
        <v>41</v>
      </c>
      <c r="J14" s="3"/>
      <c r="K14" s="3"/>
      <c r="L14" s="178"/>
      <c r="M14" s="3"/>
      <c r="N14" s="185"/>
      <c r="O14" s="170"/>
      <c r="P14" s="170"/>
      <c r="Q14" s="170"/>
      <c r="R14" s="3"/>
      <c r="S14" s="3"/>
      <c r="T14" s="3"/>
    </row>
    <row r="15" spans="1:20" ht="48.75">
      <c r="A15" s="172"/>
      <c r="B15" s="170"/>
      <c r="C15" s="29" t="s">
        <v>154</v>
      </c>
      <c r="D15" s="38" t="s">
        <v>155</v>
      </c>
      <c r="E15" s="165" t="s">
        <v>156</v>
      </c>
      <c r="F15" s="8"/>
      <c r="G15" s="30">
        <v>1</v>
      </c>
      <c r="H15" s="29" t="s">
        <v>128</v>
      </c>
      <c r="I15" s="5" t="s">
        <v>41</v>
      </c>
      <c r="J15" s="3"/>
      <c r="K15" s="3"/>
      <c r="L15" s="178"/>
      <c r="M15" s="3"/>
      <c r="N15" s="185"/>
      <c r="O15" s="170"/>
      <c r="P15" s="170"/>
      <c r="Q15" s="170"/>
      <c r="R15" s="3"/>
      <c r="S15" s="3"/>
      <c r="T15" s="3"/>
    </row>
    <row r="16" spans="1:20" ht="33">
      <c r="A16" s="172"/>
      <c r="B16" s="170"/>
      <c r="C16" s="29"/>
      <c r="D16" s="29" t="s">
        <v>157</v>
      </c>
      <c r="E16" s="165" t="s">
        <v>158</v>
      </c>
      <c r="F16" s="8"/>
      <c r="G16" s="30">
        <v>1</v>
      </c>
      <c r="H16" s="29" t="s">
        <v>128</v>
      </c>
      <c r="I16" s="5" t="s">
        <v>159</v>
      </c>
      <c r="J16" s="3"/>
      <c r="K16" s="3"/>
      <c r="L16" s="178"/>
      <c r="M16" s="3"/>
      <c r="N16" s="185"/>
      <c r="O16" s="170"/>
      <c r="P16" s="170"/>
      <c r="Q16" s="170"/>
      <c r="R16" s="3"/>
      <c r="S16" s="3"/>
      <c r="T16" s="3"/>
    </row>
    <row r="17" spans="1:20" ht="32.25">
      <c r="A17" s="172"/>
      <c r="B17" s="170"/>
      <c r="C17" s="29"/>
      <c r="D17" s="29" t="s">
        <v>160</v>
      </c>
      <c r="E17" s="8" t="s">
        <v>161</v>
      </c>
      <c r="F17" s="8"/>
      <c r="G17" s="30">
        <v>0</v>
      </c>
      <c r="H17" s="29" t="s">
        <v>141</v>
      </c>
      <c r="I17" s="3" t="s">
        <v>142</v>
      </c>
      <c r="J17" s="3"/>
      <c r="K17" s="3"/>
      <c r="L17" s="178"/>
      <c r="M17" s="3"/>
      <c r="N17" s="185"/>
      <c r="O17" s="170"/>
      <c r="P17" s="170"/>
      <c r="Q17" s="170"/>
      <c r="R17" s="3"/>
      <c r="S17" s="3"/>
      <c r="T17" s="3"/>
    </row>
    <row r="18" spans="1:20" ht="59.25" customHeight="1">
      <c r="A18" s="172"/>
      <c r="B18" s="189" t="s">
        <v>162</v>
      </c>
      <c r="C18" s="29" t="s">
        <v>163</v>
      </c>
      <c r="D18" s="29" t="s">
        <v>164</v>
      </c>
      <c r="E18" s="165" t="s">
        <v>165</v>
      </c>
      <c r="F18" s="8"/>
      <c r="G18" s="30">
        <v>1</v>
      </c>
      <c r="H18" s="29" t="s">
        <v>128</v>
      </c>
      <c r="I18" s="5" t="s">
        <v>41</v>
      </c>
      <c r="J18" s="3"/>
      <c r="K18" s="3"/>
      <c r="L18" s="178"/>
      <c r="M18" s="3"/>
      <c r="N18" s="185"/>
      <c r="O18" s="170"/>
      <c r="P18" s="170"/>
      <c r="Q18" s="170"/>
      <c r="R18" s="3"/>
      <c r="S18" s="3"/>
      <c r="T18" s="3"/>
    </row>
    <row r="19" spans="1:20" ht="33">
      <c r="A19" s="172"/>
      <c r="B19" s="189"/>
      <c r="C19" s="29" t="s">
        <v>166</v>
      </c>
      <c r="D19" s="29"/>
      <c r="E19" s="165" t="s">
        <v>167</v>
      </c>
      <c r="F19" s="8"/>
      <c r="G19" s="30">
        <v>1</v>
      </c>
      <c r="H19" s="29" t="s">
        <v>128</v>
      </c>
      <c r="I19" s="5" t="s">
        <v>41</v>
      </c>
      <c r="J19" s="3"/>
      <c r="K19" s="3"/>
      <c r="L19" s="178"/>
      <c r="M19" s="3"/>
      <c r="N19" s="185"/>
      <c r="O19" s="170"/>
      <c r="P19" s="170"/>
      <c r="Q19" s="170"/>
      <c r="R19" s="3"/>
      <c r="S19" s="3"/>
      <c r="T19" s="3"/>
    </row>
    <row r="20" spans="1:20" ht="15.75">
      <c r="A20" s="172"/>
      <c r="B20" s="189"/>
      <c r="C20" s="29" t="s">
        <v>168</v>
      </c>
      <c r="D20" s="29"/>
      <c r="E20" s="166" t="s">
        <v>169</v>
      </c>
      <c r="F20" s="29"/>
      <c r="G20" s="30">
        <v>1</v>
      </c>
      <c r="H20" s="29" t="s">
        <v>128</v>
      </c>
      <c r="I20" s="5" t="s">
        <v>41</v>
      </c>
      <c r="J20" s="3"/>
      <c r="K20" s="3"/>
      <c r="L20" s="178"/>
      <c r="M20" s="3"/>
      <c r="N20" s="185"/>
      <c r="O20" s="170"/>
      <c r="P20" s="170"/>
      <c r="Q20" s="170"/>
      <c r="R20" s="3"/>
      <c r="S20" s="3"/>
      <c r="T20" s="3"/>
    </row>
    <row r="21" spans="1:20" ht="15.75">
      <c r="A21" s="172"/>
      <c r="B21" s="189"/>
      <c r="C21" s="29" t="s">
        <v>170</v>
      </c>
      <c r="D21" s="29"/>
      <c r="E21" s="166" t="s">
        <v>171</v>
      </c>
      <c r="F21" s="29"/>
      <c r="G21" s="30">
        <v>1</v>
      </c>
      <c r="H21" s="29" t="s">
        <v>128</v>
      </c>
      <c r="I21" s="5" t="s">
        <v>41</v>
      </c>
      <c r="J21" s="3"/>
      <c r="K21" s="3"/>
      <c r="L21" s="178"/>
      <c r="M21" s="3"/>
      <c r="N21" s="185"/>
      <c r="O21" s="170"/>
      <c r="P21" s="170"/>
      <c r="Q21" s="170"/>
      <c r="R21" s="3"/>
      <c r="S21" s="3"/>
      <c r="T21" s="3"/>
    </row>
    <row r="22" spans="1:20" ht="15.75">
      <c r="A22" s="172"/>
      <c r="B22" s="189"/>
      <c r="C22" s="29" t="s">
        <v>172</v>
      </c>
      <c r="D22" s="29"/>
      <c r="E22" s="166" t="s">
        <v>173</v>
      </c>
      <c r="F22" s="29"/>
      <c r="G22" s="30">
        <v>1</v>
      </c>
      <c r="H22" s="29" t="s">
        <v>128</v>
      </c>
      <c r="I22" s="5" t="s">
        <v>41</v>
      </c>
      <c r="J22" s="3"/>
      <c r="K22" s="3"/>
      <c r="L22" s="178"/>
      <c r="M22" s="3"/>
      <c r="N22" s="185"/>
      <c r="O22" s="170"/>
      <c r="P22" s="170"/>
      <c r="Q22" s="170"/>
      <c r="R22" s="3"/>
      <c r="S22" s="3"/>
      <c r="T22" s="3"/>
    </row>
    <row r="23" spans="1:20" ht="15.75">
      <c r="A23" s="172"/>
      <c r="B23" s="189"/>
      <c r="C23" s="188" t="s">
        <v>174</v>
      </c>
      <c r="D23" s="29" t="s">
        <v>175</v>
      </c>
      <c r="E23" s="29" t="s">
        <v>176</v>
      </c>
      <c r="F23" s="29"/>
      <c r="G23" s="30">
        <v>1</v>
      </c>
      <c r="H23" s="29" t="s">
        <v>128</v>
      </c>
      <c r="I23" s="5" t="s">
        <v>41</v>
      </c>
      <c r="J23" s="3"/>
      <c r="K23" s="3"/>
      <c r="L23" s="178"/>
      <c r="M23" s="3"/>
      <c r="N23" s="185"/>
      <c r="O23" s="170"/>
      <c r="P23" s="170"/>
      <c r="Q23" s="170"/>
      <c r="R23" s="3"/>
      <c r="S23" s="3"/>
      <c r="T23" s="3"/>
    </row>
    <row r="24" spans="1:20" ht="15.75">
      <c r="A24" s="172"/>
      <c r="B24" s="189"/>
      <c r="C24" s="189"/>
      <c r="D24" s="29" t="s">
        <v>177</v>
      </c>
      <c r="E24" s="29" t="s">
        <v>178</v>
      </c>
      <c r="F24" s="29"/>
      <c r="G24" s="30">
        <v>1</v>
      </c>
      <c r="H24" s="29" t="s">
        <v>128</v>
      </c>
      <c r="I24" s="5" t="s">
        <v>41</v>
      </c>
      <c r="J24" s="3"/>
      <c r="K24" s="3"/>
      <c r="L24" s="178"/>
      <c r="M24" s="3"/>
      <c r="N24" s="185"/>
      <c r="O24" s="170"/>
      <c r="P24" s="170"/>
      <c r="Q24" s="170"/>
      <c r="R24" s="3"/>
      <c r="S24" s="3"/>
      <c r="T24" s="3"/>
    </row>
    <row r="25" spans="1:20" ht="48" customHeight="1">
      <c r="A25" s="172"/>
      <c r="B25" s="189"/>
      <c r="C25" s="190"/>
      <c r="D25" s="29" t="s">
        <v>179</v>
      </c>
      <c r="E25" s="8" t="s">
        <v>180</v>
      </c>
      <c r="F25" s="8"/>
      <c r="G25" s="30">
        <v>1</v>
      </c>
      <c r="H25" s="29" t="s">
        <v>128</v>
      </c>
      <c r="I25" s="5" t="s">
        <v>41</v>
      </c>
      <c r="J25" s="3"/>
      <c r="K25" s="3"/>
      <c r="L25" s="178"/>
      <c r="M25" s="3"/>
      <c r="N25" s="185"/>
      <c r="O25" s="170"/>
      <c r="P25" s="170"/>
      <c r="Q25" s="170"/>
      <c r="R25" s="3"/>
      <c r="S25" s="3"/>
      <c r="T25" s="3"/>
    </row>
    <row r="26" spans="1:20" ht="77.25" customHeight="1">
      <c r="A26" s="172"/>
      <c r="B26" s="189"/>
      <c r="C26" s="188" t="s">
        <v>181</v>
      </c>
      <c r="D26" s="29" t="s">
        <v>182</v>
      </c>
      <c r="E26" s="8" t="s">
        <v>183</v>
      </c>
      <c r="F26" s="8"/>
      <c r="G26" s="30">
        <v>1</v>
      </c>
      <c r="H26" s="29" t="s">
        <v>128</v>
      </c>
      <c r="I26" s="5" t="s">
        <v>41</v>
      </c>
      <c r="J26" s="3"/>
      <c r="K26" s="3"/>
      <c r="L26" s="178"/>
      <c r="M26" s="3"/>
      <c r="N26" s="185"/>
      <c r="O26" s="170"/>
      <c r="P26" s="170"/>
      <c r="Q26" s="170"/>
      <c r="R26" s="3"/>
      <c r="S26" s="3"/>
      <c r="T26" s="3"/>
    </row>
    <row r="27" spans="1:20" ht="15.75">
      <c r="A27" s="172"/>
      <c r="B27" s="189"/>
      <c r="C27" s="189"/>
      <c r="D27" s="29" t="s">
        <v>184</v>
      </c>
      <c r="E27" s="29" t="s">
        <v>185</v>
      </c>
      <c r="F27" s="29"/>
      <c r="G27" s="30">
        <v>1</v>
      </c>
      <c r="H27" s="29" t="s">
        <v>128</v>
      </c>
      <c r="I27" s="5" t="s">
        <v>41</v>
      </c>
      <c r="J27" s="3"/>
      <c r="K27" s="3"/>
      <c r="L27" s="178"/>
      <c r="M27" s="3"/>
      <c r="N27" s="185"/>
      <c r="O27" s="170"/>
      <c r="P27" s="170"/>
      <c r="Q27" s="170"/>
      <c r="R27" s="3"/>
      <c r="S27" s="3"/>
      <c r="T27" s="3"/>
    </row>
    <row r="28" spans="1:20" ht="15.75">
      <c r="A28" s="172"/>
      <c r="B28" s="189"/>
      <c r="C28" s="190"/>
      <c r="D28" s="29" t="s">
        <v>186</v>
      </c>
      <c r="E28" s="29"/>
      <c r="F28" s="29"/>
      <c r="G28" s="30">
        <v>1</v>
      </c>
      <c r="H28" s="29" t="s">
        <v>128</v>
      </c>
      <c r="I28" s="5" t="s">
        <v>41</v>
      </c>
      <c r="J28" s="3"/>
      <c r="K28" s="3"/>
      <c r="L28" s="178"/>
      <c r="M28" s="3"/>
      <c r="N28" s="185"/>
      <c r="O28" s="170"/>
      <c r="P28" s="170"/>
      <c r="Q28" s="170"/>
      <c r="R28" s="3"/>
      <c r="S28" s="3"/>
      <c r="T28" s="3"/>
    </row>
    <row r="29" spans="1:20" ht="15.75">
      <c r="A29" s="172"/>
      <c r="B29" s="189"/>
      <c r="C29" s="188" t="s">
        <v>187</v>
      </c>
      <c r="D29" s="29" t="s">
        <v>188</v>
      </c>
      <c r="E29" s="29"/>
      <c r="F29" s="29"/>
      <c r="G29" s="30">
        <v>1</v>
      </c>
      <c r="H29" s="29" t="s">
        <v>128</v>
      </c>
      <c r="I29" s="5" t="s">
        <v>41</v>
      </c>
      <c r="J29" s="3"/>
      <c r="K29" s="3"/>
      <c r="L29" s="178"/>
      <c r="M29" s="3"/>
      <c r="N29" s="185"/>
      <c r="O29" s="170"/>
      <c r="P29" s="170"/>
      <c r="Q29" s="170"/>
      <c r="R29" s="3"/>
      <c r="S29" s="3"/>
      <c r="T29" s="3"/>
    </row>
    <row r="30" spans="1:20" ht="15.75">
      <c r="A30" s="172"/>
      <c r="B30" s="189"/>
      <c r="C30" s="189"/>
      <c r="D30" s="29" t="s">
        <v>189</v>
      </c>
      <c r="E30" s="29"/>
      <c r="F30" s="29"/>
      <c r="G30" s="30">
        <v>1</v>
      </c>
      <c r="H30" s="29" t="s">
        <v>128</v>
      </c>
      <c r="I30" s="5" t="s">
        <v>41</v>
      </c>
      <c r="J30" s="3"/>
      <c r="K30" s="3"/>
      <c r="L30" s="178"/>
      <c r="M30" s="3"/>
      <c r="N30" s="185"/>
      <c r="O30" s="170"/>
      <c r="P30" s="170"/>
      <c r="Q30" s="170"/>
      <c r="R30" s="3"/>
      <c r="S30" s="3"/>
      <c r="T30" s="3"/>
    </row>
    <row r="31" spans="1:20" ht="15.75">
      <c r="A31" s="172"/>
      <c r="B31" s="189"/>
      <c r="C31" s="190"/>
      <c r="D31" s="40" t="s">
        <v>190</v>
      </c>
      <c r="E31" s="29"/>
      <c r="F31" s="29"/>
      <c r="G31" s="29">
        <v>0</v>
      </c>
      <c r="H31" s="29" t="s">
        <v>141</v>
      </c>
      <c r="I31" s="3" t="s">
        <v>142</v>
      </c>
      <c r="J31" s="3"/>
      <c r="K31" s="3"/>
      <c r="L31" s="178"/>
      <c r="M31" s="3"/>
      <c r="N31" s="185"/>
      <c r="O31" s="170"/>
      <c r="P31" s="170"/>
      <c r="Q31" s="170"/>
      <c r="R31" s="3"/>
      <c r="S31" s="3"/>
      <c r="T31" s="3"/>
    </row>
    <row r="32" spans="1:20" ht="81.75" customHeight="1">
      <c r="A32" s="172"/>
      <c r="B32" s="189"/>
      <c r="C32" s="188" t="s">
        <v>191</v>
      </c>
      <c r="D32" s="29" t="s">
        <v>192</v>
      </c>
      <c r="E32" s="8" t="s">
        <v>193</v>
      </c>
      <c r="F32" s="8"/>
      <c r="G32" s="31">
        <f>AVERAGE(G33:G45)</f>
        <v>1</v>
      </c>
      <c r="H32" s="29" t="s">
        <v>128</v>
      </c>
      <c r="I32" s="3"/>
      <c r="J32" s="3"/>
      <c r="K32" s="3"/>
      <c r="L32" s="178"/>
      <c r="M32" s="3"/>
      <c r="N32" s="185"/>
      <c r="O32" s="170"/>
      <c r="P32" s="170"/>
      <c r="Q32" s="170"/>
      <c r="R32" s="3"/>
      <c r="S32" s="3"/>
      <c r="T32" s="3"/>
    </row>
    <row r="33" spans="1:20" ht="15.75">
      <c r="A33" s="172"/>
      <c r="B33" s="189"/>
      <c r="C33" s="189"/>
      <c r="D33" s="169" t="s">
        <v>194</v>
      </c>
      <c r="E33" s="3" t="s">
        <v>47</v>
      </c>
      <c r="F33" s="3"/>
      <c r="G33" s="30">
        <v>1</v>
      </c>
      <c r="H33" s="29" t="s">
        <v>128</v>
      </c>
      <c r="I33" s="5" t="s">
        <v>41</v>
      </c>
      <c r="J33" s="13"/>
      <c r="K33" s="3"/>
      <c r="L33" s="178"/>
      <c r="M33" s="3"/>
      <c r="N33" s="185"/>
      <c r="O33" s="170"/>
      <c r="P33" s="170"/>
      <c r="Q33" s="170"/>
      <c r="R33" s="3"/>
      <c r="S33" s="3"/>
      <c r="T33" s="3"/>
    </row>
    <row r="34" spans="1:20" ht="15.75">
      <c r="A34" s="172"/>
      <c r="B34" s="189"/>
      <c r="C34" s="189"/>
      <c r="D34" s="170"/>
      <c r="E34" s="3" t="s">
        <v>48</v>
      </c>
      <c r="F34" s="3"/>
      <c r="G34" s="30">
        <v>1</v>
      </c>
      <c r="H34" s="29" t="s">
        <v>128</v>
      </c>
      <c r="I34" s="5" t="s">
        <v>41</v>
      </c>
      <c r="J34" s="3"/>
      <c r="K34" s="3"/>
      <c r="L34" s="178"/>
      <c r="M34" s="3"/>
      <c r="N34" s="185"/>
      <c r="O34" s="170"/>
      <c r="P34" s="170"/>
      <c r="Q34" s="170"/>
      <c r="R34" s="3"/>
      <c r="S34" s="3"/>
      <c r="T34" s="3"/>
    </row>
    <row r="35" spans="1:20" ht="88.5" customHeight="1">
      <c r="A35" s="172"/>
      <c r="B35" s="189"/>
      <c r="C35" s="189"/>
      <c r="D35" s="170"/>
      <c r="E35" s="69" t="s">
        <v>195</v>
      </c>
      <c r="F35" s="3"/>
      <c r="G35" s="163">
        <v>1</v>
      </c>
      <c r="H35" s="66" t="s">
        <v>128</v>
      </c>
      <c r="I35" s="36" t="s">
        <v>196</v>
      </c>
      <c r="J35" s="3"/>
      <c r="K35" s="3"/>
      <c r="L35" s="178"/>
      <c r="M35" s="3"/>
      <c r="N35" s="185"/>
      <c r="O35" s="170"/>
      <c r="P35" s="170"/>
      <c r="Q35" s="170"/>
      <c r="R35" s="3"/>
      <c r="S35" s="3"/>
      <c r="T35" s="3"/>
    </row>
    <row r="36" spans="1:20" ht="36" customHeight="1">
      <c r="A36" s="172"/>
      <c r="B36" s="189"/>
      <c r="C36" s="189"/>
      <c r="D36" s="170"/>
      <c r="E36" s="69" t="s">
        <v>197</v>
      </c>
      <c r="F36" s="66"/>
      <c r="G36" s="131">
        <v>1</v>
      </c>
      <c r="H36" s="66" t="s">
        <v>128</v>
      </c>
      <c r="I36" s="132" t="s">
        <v>198</v>
      </c>
      <c r="J36" s="3"/>
      <c r="K36" s="3"/>
      <c r="L36" s="178"/>
      <c r="M36" s="3"/>
      <c r="N36" s="185"/>
      <c r="O36" s="170"/>
      <c r="P36" s="170"/>
      <c r="Q36" s="170"/>
      <c r="R36" s="3"/>
      <c r="S36" s="3"/>
      <c r="T36" s="3"/>
    </row>
    <row r="37" spans="1:20" ht="137.25" customHeight="1">
      <c r="A37" s="172"/>
      <c r="B37" s="189"/>
      <c r="C37" s="189"/>
      <c r="D37" s="170"/>
      <c r="E37" s="69" t="s">
        <v>54</v>
      </c>
      <c r="F37" s="66"/>
      <c r="G37" s="131">
        <v>1</v>
      </c>
      <c r="H37" s="66" t="s">
        <v>128</v>
      </c>
      <c r="I37" s="36" t="s">
        <v>199</v>
      </c>
      <c r="J37" s="3"/>
      <c r="K37" s="5" t="s">
        <v>53</v>
      </c>
      <c r="L37" s="178"/>
      <c r="M37" s="3"/>
      <c r="N37" s="185"/>
      <c r="O37" s="170"/>
      <c r="P37" s="170"/>
      <c r="Q37" s="170"/>
      <c r="R37" s="3"/>
      <c r="S37" s="3"/>
      <c r="T37" s="3"/>
    </row>
    <row r="38" spans="1:20" ht="15.75">
      <c r="A38" s="172"/>
      <c r="B38" s="189"/>
      <c r="C38" s="189"/>
      <c r="D38" s="169" t="s">
        <v>200</v>
      </c>
      <c r="E38" s="3" t="s">
        <v>47</v>
      </c>
      <c r="F38" s="3"/>
      <c r="G38" s="30">
        <v>1</v>
      </c>
      <c r="H38" s="29" t="s">
        <v>128</v>
      </c>
      <c r="I38" s="5" t="s">
        <v>41</v>
      </c>
      <c r="J38" s="3"/>
      <c r="K38" s="3"/>
      <c r="L38" s="178"/>
      <c r="M38" s="3"/>
      <c r="N38" s="185"/>
      <c r="O38" s="170"/>
      <c r="P38" s="170"/>
      <c r="Q38" s="170"/>
      <c r="R38" s="3"/>
      <c r="S38" s="3"/>
      <c r="T38" s="3"/>
    </row>
    <row r="39" spans="1:20" ht="15.75">
      <c r="A39" s="172"/>
      <c r="B39" s="189"/>
      <c r="C39" s="189"/>
      <c r="D39" s="170"/>
      <c r="E39" s="197" t="s">
        <v>55</v>
      </c>
      <c r="F39" s="3" t="s">
        <v>201</v>
      </c>
      <c r="G39" s="164">
        <v>1</v>
      </c>
      <c r="H39" s="29" t="s">
        <v>128</v>
      </c>
      <c r="I39" s="191" t="s">
        <v>202</v>
      </c>
      <c r="J39" s="5" t="s">
        <v>64</v>
      </c>
      <c r="K39" s="5"/>
      <c r="L39" s="178"/>
      <c r="M39" s="3"/>
      <c r="N39" s="185"/>
      <c r="O39" s="170"/>
      <c r="P39" s="170"/>
      <c r="Q39" s="170"/>
      <c r="R39" s="3"/>
      <c r="S39" s="3"/>
      <c r="T39" s="3"/>
    </row>
    <row r="40" spans="1:20" ht="226.5" customHeight="1">
      <c r="A40" s="172"/>
      <c r="B40" s="189"/>
      <c r="C40" s="189"/>
      <c r="D40" s="170"/>
      <c r="E40" s="198"/>
      <c r="F40" s="3" t="s">
        <v>203</v>
      </c>
      <c r="G40" s="164">
        <v>1</v>
      </c>
      <c r="H40" s="29" t="s">
        <v>128</v>
      </c>
      <c r="I40" s="192"/>
      <c r="J40" s="28"/>
      <c r="K40" s="28"/>
      <c r="L40" s="178"/>
      <c r="M40" s="3"/>
      <c r="N40" s="185"/>
      <c r="O40" s="170"/>
      <c r="P40" s="170"/>
      <c r="Q40" s="170"/>
      <c r="R40" s="3"/>
      <c r="S40" s="3"/>
      <c r="T40" s="3"/>
    </row>
    <row r="41" spans="1:20" ht="132.75" customHeight="1">
      <c r="A41" s="172"/>
      <c r="B41" s="189"/>
      <c r="C41" s="189"/>
      <c r="D41" s="187"/>
      <c r="E41" s="199"/>
      <c r="F41" s="29" t="s">
        <v>204</v>
      </c>
      <c r="G41" s="164">
        <v>1</v>
      </c>
      <c r="H41" s="29" t="s">
        <v>128</v>
      </c>
      <c r="I41" s="193"/>
      <c r="J41" s="28"/>
      <c r="K41" s="28"/>
      <c r="L41" s="178"/>
      <c r="M41" s="3"/>
      <c r="N41" s="185"/>
      <c r="O41" s="170"/>
      <c r="P41" s="170"/>
      <c r="Q41" s="170"/>
      <c r="R41" s="3"/>
      <c r="S41" s="3"/>
      <c r="T41" s="3"/>
    </row>
    <row r="42" spans="1:20" ht="16.5" customHeight="1">
      <c r="A42" s="172"/>
      <c r="B42" s="189"/>
      <c r="C42" s="189"/>
      <c r="D42" s="169" t="s">
        <v>65</v>
      </c>
      <c r="E42" s="3" t="s">
        <v>47</v>
      </c>
      <c r="F42" s="3"/>
      <c r="G42" s="30">
        <v>1</v>
      </c>
      <c r="H42" s="29" t="s">
        <v>128</v>
      </c>
      <c r="I42" s="5"/>
      <c r="J42" s="3"/>
      <c r="K42" s="3"/>
      <c r="L42" s="178"/>
      <c r="M42" s="3"/>
      <c r="N42" s="185"/>
      <c r="O42" s="170"/>
      <c r="P42" s="170"/>
      <c r="Q42" s="170"/>
      <c r="R42" s="3"/>
      <c r="S42" s="3"/>
      <c r="T42" s="3"/>
    </row>
    <row r="43" spans="1:20" ht="15.75">
      <c r="A43" s="172"/>
      <c r="B43" s="189"/>
      <c r="C43" s="189"/>
      <c r="D43" s="187"/>
      <c r="E43" s="39" t="s">
        <v>55</v>
      </c>
      <c r="F43" s="3"/>
      <c r="G43" s="164">
        <v>1</v>
      </c>
      <c r="H43" s="29" t="s">
        <v>128</v>
      </c>
      <c r="I43" s="5"/>
      <c r="J43" s="5"/>
      <c r="K43" s="5"/>
      <c r="L43" s="178"/>
      <c r="M43" s="3"/>
      <c r="N43" s="185"/>
      <c r="O43" s="170"/>
      <c r="P43" s="170"/>
      <c r="Q43" s="170"/>
      <c r="R43" s="3"/>
      <c r="S43" s="3"/>
      <c r="T43" s="3"/>
    </row>
    <row r="44" spans="1:20" ht="15.75">
      <c r="A44" s="172"/>
      <c r="B44" s="189"/>
      <c r="C44" s="189"/>
      <c r="D44" s="169" t="s">
        <v>205</v>
      </c>
      <c r="E44" s="3" t="s">
        <v>47</v>
      </c>
      <c r="F44" s="3"/>
      <c r="G44" s="30">
        <v>1</v>
      </c>
      <c r="H44" s="29" t="s">
        <v>128</v>
      </c>
      <c r="I44" s="5" t="s">
        <v>41</v>
      </c>
      <c r="J44" s="3"/>
      <c r="K44" s="3"/>
      <c r="L44" s="178"/>
      <c r="M44" s="3"/>
      <c r="N44" s="185"/>
      <c r="O44" s="170"/>
      <c r="P44" s="170"/>
      <c r="Q44" s="170"/>
      <c r="R44" s="3"/>
      <c r="S44" s="3"/>
      <c r="T44" s="3"/>
    </row>
    <row r="45" spans="1:20" ht="15.75">
      <c r="A45" s="172"/>
      <c r="B45" s="190"/>
      <c r="C45" s="190"/>
      <c r="D45" s="187"/>
      <c r="E45" s="39" t="s">
        <v>55</v>
      </c>
      <c r="F45" s="3"/>
      <c r="G45" s="164">
        <v>1</v>
      </c>
      <c r="H45" s="29" t="s">
        <v>128</v>
      </c>
      <c r="I45" s="5"/>
      <c r="J45" s="5"/>
      <c r="K45" s="5"/>
      <c r="L45" s="178"/>
      <c r="M45" s="3"/>
      <c r="N45" s="185"/>
      <c r="O45" s="170"/>
      <c r="P45" s="170"/>
      <c r="Q45" s="170"/>
      <c r="R45" s="3"/>
      <c r="S45" s="3"/>
      <c r="T45" s="3"/>
    </row>
    <row r="46" spans="1:20" ht="33">
      <c r="A46" s="172"/>
      <c r="B46" s="40" t="s">
        <v>52</v>
      </c>
      <c r="C46" s="3"/>
      <c r="D46" s="3"/>
      <c r="E46" s="36" t="s">
        <v>206</v>
      </c>
      <c r="F46" s="36"/>
      <c r="G46" s="32">
        <v>0</v>
      </c>
      <c r="H46" s="8" t="s">
        <v>141</v>
      </c>
      <c r="I46" s="3"/>
      <c r="J46" s="3"/>
      <c r="K46" s="5" t="s">
        <v>53</v>
      </c>
      <c r="L46" s="179"/>
      <c r="M46" s="3"/>
      <c r="N46" s="185"/>
      <c r="O46" s="170"/>
      <c r="P46" s="170"/>
      <c r="Q46" s="170"/>
      <c r="R46" s="3"/>
      <c r="S46" s="3"/>
      <c r="T46" s="3"/>
    </row>
    <row r="47" spans="1:20" ht="15.75">
      <c r="A47" s="172"/>
      <c r="B47" s="188" t="s">
        <v>207</v>
      </c>
      <c r="C47" s="194" t="s">
        <v>208</v>
      </c>
      <c r="D47" s="3" t="s">
        <v>209</v>
      </c>
      <c r="E47" s="3"/>
      <c r="F47" s="3"/>
      <c r="G47" s="32">
        <v>0</v>
      </c>
      <c r="H47" s="29" t="s">
        <v>141</v>
      </c>
      <c r="I47" s="3" t="s">
        <v>142</v>
      </c>
      <c r="J47" s="3"/>
      <c r="K47" s="5"/>
      <c r="L47" s="179"/>
      <c r="M47" s="3"/>
      <c r="N47" s="185"/>
      <c r="O47" s="170"/>
      <c r="P47" s="170"/>
      <c r="Q47" s="170"/>
      <c r="R47" s="3"/>
      <c r="S47" s="3"/>
      <c r="T47" s="3"/>
    </row>
    <row r="48" spans="1:20" ht="15.75">
      <c r="A48" s="172"/>
      <c r="B48" s="189"/>
      <c r="C48" s="195"/>
      <c r="D48" s="3" t="s">
        <v>210</v>
      </c>
      <c r="E48" s="3"/>
      <c r="F48" s="3"/>
      <c r="G48" s="32">
        <v>1</v>
      </c>
      <c r="H48" s="29" t="s">
        <v>128</v>
      </c>
      <c r="I48" s="5" t="s">
        <v>41</v>
      </c>
      <c r="J48" s="3"/>
      <c r="K48" s="5"/>
      <c r="L48" s="179"/>
      <c r="M48" s="3"/>
      <c r="N48" s="185"/>
      <c r="O48" s="170"/>
      <c r="P48" s="170"/>
      <c r="Q48" s="170"/>
      <c r="R48" s="3"/>
      <c r="S48" s="3"/>
      <c r="T48" s="3"/>
    </row>
    <row r="49" spans="1:20" ht="15.75">
      <c r="A49" s="172"/>
      <c r="B49" s="189"/>
      <c r="C49" s="195"/>
      <c r="D49" s="3" t="s">
        <v>211</v>
      </c>
      <c r="E49" s="3"/>
      <c r="F49" s="3"/>
      <c r="G49" s="32">
        <v>0</v>
      </c>
      <c r="H49" s="29" t="s">
        <v>141</v>
      </c>
      <c r="I49" s="3" t="s">
        <v>142</v>
      </c>
      <c r="J49" s="3"/>
      <c r="K49" s="5"/>
      <c r="L49" s="179"/>
      <c r="M49" s="3"/>
      <c r="N49" s="185"/>
      <c r="O49" s="170"/>
      <c r="P49" s="170"/>
      <c r="Q49" s="170"/>
      <c r="R49" s="3"/>
      <c r="S49" s="3"/>
      <c r="T49" s="3"/>
    </row>
    <row r="50" spans="1:20" ht="15.75">
      <c r="A50" s="172"/>
      <c r="B50" s="189"/>
      <c r="C50" s="196"/>
      <c r="D50" s="3" t="s">
        <v>212</v>
      </c>
      <c r="E50" s="3" t="s">
        <v>213</v>
      </c>
      <c r="F50" s="3"/>
      <c r="G50" s="32">
        <v>0</v>
      </c>
      <c r="H50" s="29" t="s">
        <v>141</v>
      </c>
      <c r="I50" s="3" t="s">
        <v>142</v>
      </c>
      <c r="J50" s="3"/>
      <c r="K50" s="5"/>
      <c r="L50" s="179"/>
      <c r="M50" s="3"/>
      <c r="N50" s="185"/>
      <c r="O50" s="170"/>
      <c r="P50" s="170"/>
      <c r="Q50" s="170"/>
      <c r="R50" s="3"/>
      <c r="S50" s="3"/>
      <c r="T50" s="3"/>
    </row>
    <row r="51" spans="1:20" ht="81.75">
      <c r="A51" s="172"/>
      <c r="B51" s="189"/>
      <c r="C51" s="188" t="s">
        <v>214</v>
      </c>
      <c r="D51" s="169" t="s">
        <v>215</v>
      </c>
      <c r="E51" s="36" t="s">
        <v>216</v>
      </c>
      <c r="F51" s="3"/>
      <c r="G51" s="32">
        <v>1</v>
      </c>
      <c r="H51" s="29" t="s">
        <v>128</v>
      </c>
      <c r="I51" s="5" t="s">
        <v>41</v>
      </c>
      <c r="J51" s="3"/>
      <c r="K51" s="5"/>
      <c r="L51" s="179"/>
      <c r="M51" s="3"/>
      <c r="N51" s="185"/>
      <c r="O51" s="170"/>
      <c r="P51" s="170"/>
      <c r="Q51" s="170"/>
      <c r="R51" s="3"/>
      <c r="S51" s="3"/>
      <c r="T51" s="3"/>
    </row>
    <row r="52" spans="1:20" ht="98.25">
      <c r="A52" s="172"/>
      <c r="B52" s="189"/>
      <c r="C52" s="189"/>
      <c r="D52" s="170"/>
      <c r="E52" s="36" t="s">
        <v>217</v>
      </c>
      <c r="F52" s="3"/>
      <c r="G52" s="32">
        <v>1</v>
      </c>
      <c r="H52" s="29" t="s">
        <v>128</v>
      </c>
      <c r="I52" s="5" t="s">
        <v>41</v>
      </c>
      <c r="J52" s="3"/>
      <c r="K52" s="5"/>
      <c r="L52" s="179"/>
      <c r="M52" s="3"/>
      <c r="N52" s="185"/>
      <c r="O52" s="170"/>
      <c r="P52" s="170"/>
      <c r="Q52" s="170"/>
      <c r="R52" s="3"/>
      <c r="S52" s="3"/>
      <c r="T52" s="3"/>
    </row>
    <row r="53" spans="1:20" ht="98.25">
      <c r="A53" s="172"/>
      <c r="B53" s="189"/>
      <c r="C53" s="189"/>
      <c r="D53" s="170"/>
      <c r="E53" s="36" t="s">
        <v>218</v>
      </c>
      <c r="F53" s="3"/>
      <c r="G53" s="32">
        <v>1</v>
      </c>
      <c r="H53" s="29" t="s">
        <v>128</v>
      </c>
      <c r="I53" s="5" t="s">
        <v>41</v>
      </c>
      <c r="J53" s="3"/>
      <c r="K53" s="5"/>
      <c r="L53" s="179"/>
      <c r="M53" s="3"/>
      <c r="N53" s="185"/>
      <c r="O53" s="170"/>
      <c r="P53" s="170"/>
      <c r="Q53" s="170"/>
      <c r="R53" s="3"/>
      <c r="S53" s="3"/>
      <c r="T53" s="3"/>
    </row>
    <row r="54" spans="1:20" ht="65.25">
      <c r="A54" s="172"/>
      <c r="B54" s="189"/>
      <c r="C54" s="189"/>
      <c r="D54" s="187"/>
      <c r="E54" s="36" t="s">
        <v>219</v>
      </c>
      <c r="F54" s="3"/>
      <c r="G54" s="32">
        <v>1</v>
      </c>
      <c r="H54" s="29" t="s">
        <v>128</v>
      </c>
      <c r="I54" s="5" t="s">
        <v>41</v>
      </c>
      <c r="J54" s="3"/>
      <c r="K54" s="5"/>
      <c r="L54" s="179"/>
      <c r="M54" s="3"/>
      <c r="N54" s="185"/>
      <c r="O54" s="170"/>
      <c r="P54" s="170"/>
      <c r="Q54" s="170"/>
      <c r="R54" s="3"/>
      <c r="S54" s="3"/>
      <c r="T54" s="3"/>
    </row>
    <row r="55" spans="1:20" ht="32.25" customHeight="1">
      <c r="A55" s="172"/>
      <c r="B55" s="189"/>
      <c r="C55" s="189"/>
      <c r="D55" s="169" t="s">
        <v>220</v>
      </c>
      <c r="E55" s="3" t="s">
        <v>221</v>
      </c>
      <c r="F55" s="3"/>
      <c r="G55" s="32">
        <v>1</v>
      </c>
      <c r="H55" s="29" t="s">
        <v>128</v>
      </c>
      <c r="I55" s="5" t="s">
        <v>41</v>
      </c>
      <c r="J55" s="3"/>
      <c r="K55" s="5"/>
      <c r="L55" s="179"/>
      <c r="M55" s="3"/>
      <c r="N55" s="185"/>
      <c r="O55" s="170"/>
      <c r="P55" s="170"/>
      <c r="Q55" s="170"/>
      <c r="R55" s="3"/>
      <c r="S55" s="3"/>
      <c r="T55" s="3"/>
    </row>
    <row r="56" spans="1:20" ht="15.75">
      <c r="A56" s="172"/>
      <c r="B56" s="189"/>
      <c r="C56" s="189"/>
      <c r="D56" s="170"/>
      <c r="E56" s="3" t="s">
        <v>222</v>
      </c>
      <c r="F56" s="3"/>
      <c r="G56" s="32">
        <v>1</v>
      </c>
      <c r="H56" s="29" t="s">
        <v>128</v>
      </c>
      <c r="I56" s="5" t="s">
        <v>41</v>
      </c>
      <c r="J56" s="3"/>
      <c r="K56" s="5"/>
      <c r="L56" s="179"/>
      <c r="M56" s="3"/>
      <c r="N56" s="185"/>
      <c r="O56" s="170"/>
      <c r="P56" s="170"/>
      <c r="Q56" s="170"/>
      <c r="R56" s="3"/>
      <c r="S56" s="3"/>
      <c r="T56" s="3"/>
    </row>
    <row r="57" spans="1:20" ht="15.75">
      <c r="A57" s="172"/>
      <c r="B57" s="189"/>
      <c r="C57" s="189"/>
      <c r="D57" s="170"/>
      <c r="E57" s="3" t="s">
        <v>223</v>
      </c>
      <c r="F57" s="3"/>
      <c r="G57" s="32">
        <v>1</v>
      </c>
      <c r="H57" s="29" t="s">
        <v>128</v>
      </c>
      <c r="I57" s="5" t="s">
        <v>41</v>
      </c>
      <c r="J57" s="3"/>
      <c r="K57" s="5"/>
      <c r="L57" s="179"/>
      <c r="M57" s="3"/>
      <c r="N57" s="185"/>
      <c r="O57" s="170"/>
      <c r="P57" s="170"/>
      <c r="Q57" s="170"/>
      <c r="R57" s="3"/>
      <c r="S57" s="3"/>
      <c r="T57" s="3"/>
    </row>
    <row r="58" spans="1:20" ht="15.75">
      <c r="A58" s="172"/>
      <c r="B58" s="189"/>
      <c r="C58" s="189"/>
      <c r="D58" s="170"/>
      <c r="E58" s="3" t="s">
        <v>224</v>
      </c>
      <c r="F58" s="3"/>
      <c r="G58" s="32">
        <v>1</v>
      </c>
      <c r="H58" s="29" t="s">
        <v>128</v>
      </c>
      <c r="I58" s="5" t="s">
        <v>41</v>
      </c>
      <c r="J58" s="3"/>
      <c r="K58" s="5"/>
      <c r="L58" s="179"/>
      <c r="M58" s="3"/>
      <c r="N58" s="185"/>
      <c r="O58" s="170"/>
      <c r="P58" s="170"/>
      <c r="Q58" s="170"/>
      <c r="R58" s="3"/>
      <c r="S58" s="3"/>
      <c r="T58" s="3"/>
    </row>
    <row r="59" spans="1:20" ht="15" customHeight="1">
      <c r="A59" s="172"/>
      <c r="B59" s="189"/>
      <c r="C59" s="189"/>
      <c r="D59" s="170"/>
      <c r="E59" s="3" t="s">
        <v>225</v>
      </c>
      <c r="F59" s="3"/>
      <c r="G59" s="32">
        <v>1</v>
      </c>
      <c r="H59" s="29" t="s">
        <v>128</v>
      </c>
      <c r="I59" s="5" t="s">
        <v>41</v>
      </c>
      <c r="J59" s="3"/>
      <c r="K59" s="5"/>
      <c r="L59" s="179"/>
      <c r="M59" s="3"/>
      <c r="N59" s="185"/>
      <c r="O59" s="170"/>
      <c r="P59" s="170"/>
      <c r="Q59" s="170"/>
      <c r="R59" s="3"/>
      <c r="S59" s="3"/>
      <c r="T59" s="3"/>
    </row>
    <row r="60" spans="1:20" ht="15" customHeight="1">
      <c r="A60" s="172"/>
      <c r="B60" s="189"/>
      <c r="C60" s="189"/>
      <c r="D60" s="170"/>
      <c r="E60" s="3" t="s">
        <v>226</v>
      </c>
      <c r="F60" s="3"/>
      <c r="G60" s="32">
        <v>1</v>
      </c>
      <c r="H60" s="29" t="s">
        <v>128</v>
      </c>
      <c r="I60" s="5" t="s">
        <v>41</v>
      </c>
      <c r="J60" s="3"/>
      <c r="K60" s="5"/>
      <c r="L60" s="179"/>
      <c r="M60" s="3"/>
      <c r="N60" s="185"/>
      <c r="O60" s="170"/>
      <c r="P60" s="170"/>
      <c r="Q60" s="170"/>
      <c r="R60" s="3"/>
      <c r="S60" s="3"/>
      <c r="T60" s="3"/>
    </row>
    <row r="61" spans="1:20" ht="15" customHeight="1">
      <c r="A61" s="172"/>
      <c r="B61" s="189"/>
      <c r="C61" s="189"/>
      <c r="D61" s="170"/>
      <c r="E61" s="3" t="s">
        <v>227</v>
      </c>
      <c r="F61" s="3"/>
      <c r="G61" s="32">
        <v>1</v>
      </c>
      <c r="H61" s="29" t="s">
        <v>128</v>
      </c>
      <c r="I61" s="5" t="s">
        <v>41</v>
      </c>
      <c r="J61" s="3"/>
      <c r="K61" s="5"/>
      <c r="L61" s="179"/>
      <c r="M61" s="3"/>
      <c r="N61" s="185"/>
      <c r="O61" s="170"/>
      <c r="P61" s="170"/>
      <c r="Q61" s="170"/>
      <c r="R61" s="3"/>
      <c r="S61" s="3"/>
      <c r="T61" s="3"/>
    </row>
    <row r="62" spans="1:20" ht="15" customHeight="1">
      <c r="A62" s="172"/>
      <c r="B62" s="189"/>
      <c r="C62" s="189"/>
      <c r="D62" s="170"/>
      <c r="E62" s="3" t="s">
        <v>228</v>
      </c>
      <c r="F62" s="3"/>
      <c r="G62" s="32">
        <v>1</v>
      </c>
      <c r="H62" s="29" t="s">
        <v>128</v>
      </c>
      <c r="I62" s="5" t="s">
        <v>41</v>
      </c>
      <c r="J62" s="3"/>
      <c r="K62" s="5"/>
      <c r="L62" s="179"/>
      <c r="M62" s="3"/>
      <c r="N62" s="185"/>
      <c r="O62" s="170"/>
      <c r="P62" s="170"/>
      <c r="Q62" s="170"/>
      <c r="R62" s="3"/>
      <c r="S62" s="3"/>
      <c r="T62" s="3"/>
    </row>
    <row r="63" spans="1:20" ht="15" customHeight="1">
      <c r="A63" s="172"/>
      <c r="B63" s="189"/>
      <c r="C63" s="189"/>
      <c r="D63" s="170"/>
      <c r="E63" s="3" t="s">
        <v>229</v>
      </c>
      <c r="F63" s="3"/>
      <c r="G63" s="32">
        <v>1</v>
      </c>
      <c r="H63" s="29" t="s">
        <v>128</v>
      </c>
      <c r="I63" s="5" t="s">
        <v>41</v>
      </c>
      <c r="J63" s="3"/>
      <c r="K63" s="5"/>
      <c r="L63" s="179"/>
      <c r="M63" s="3"/>
      <c r="N63" s="185"/>
      <c r="O63" s="170"/>
      <c r="P63" s="170"/>
      <c r="Q63" s="170"/>
      <c r="R63" s="3"/>
      <c r="S63" s="3"/>
      <c r="T63" s="3"/>
    </row>
    <row r="64" spans="1:20" ht="15" customHeight="1">
      <c r="A64" s="172"/>
      <c r="B64" s="189"/>
      <c r="C64" s="189"/>
      <c r="D64" s="187"/>
      <c r="E64" s="3" t="s">
        <v>230</v>
      </c>
      <c r="F64" s="3"/>
      <c r="G64" s="32">
        <v>1</v>
      </c>
      <c r="H64" s="29" t="s">
        <v>128</v>
      </c>
      <c r="I64" s="5" t="s">
        <v>41</v>
      </c>
      <c r="J64" s="3"/>
      <c r="K64" s="5"/>
      <c r="L64" s="179"/>
      <c r="M64" s="3"/>
      <c r="N64" s="185"/>
      <c r="O64" s="170"/>
      <c r="P64" s="170"/>
      <c r="Q64" s="170"/>
      <c r="R64" s="3"/>
      <c r="S64" s="3"/>
      <c r="T64" s="3"/>
    </row>
    <row r="65" spans="1:20" ht="52.5" customHeight="1">
      <c r="A65" s="172"/>
      <c r="B65" s="189"/>
      <c r="C65" s="190"/>
      <c r="D65" s="41" t="s">
        <v>231</v>
      </c>
      <c r="E65" s="3" t="s">
        <v>232</v>
      </c>
      <c r="F65" s="3"/>
      <c r="G65" s="167">
        <v>1</v>
      </c>
      <c r="H65" s="166" t="s">
        <v>128</v>
      </c>
      <c r="I65" s="3"/>
      <c r="J65" s="3"/>
      <c r="K65" s="5"/>
      <c r="L65" s="179"/>
      <c r="M65" s="3"/>
      <c r="N65" s="185"/>
      <c r="O65" s="170"/>
      <c r="P65" s="170"/>
      <c r="Q65" s="170"/>
      <c r="R65" s="3"/>
      <c r="S65" s="3"/>
      <c r="T65" s="3"/>
    </row>
    <row r="66" spans="1:20" ht="81.75">
      <c r="A66" s="172"/>
      <c r="B66" s="189"/>
      <c r="C66" s="3" t="s">
        <v>233</v>
      </c>
      <c r="D66" s="3" t="s">
        <v>234</v>
      </c>
      <c r="E66" s="36" t="s">
        <v>235</v>
      </c>
      <c r="F66" s="3"/>
      <c r="G66" s="32">
        <v>1</v>
      </c>
      <c r="H66" s="29" t="s">
        <v>128</v>
      </c>
      <c r="I66" s="14" t="s">
        <v>41</v>
      </c>
      <c r="J66" s="3"/>
      <c r="K66" s="5"/>
      <c r="L66" s="179"/>
      <c r="M66" s="3"/>
      <c r="N66" s="185"/>
      <c r="O66" s="170"/>
      <c r="P66" s="170"/>
      <c r="Q66" s="170"/>
      <c r="R66" s="3"/>
      <c r="S66" s="3"/>
      <c r="T66" s="3"/>
    </row>
    <row r="67" spans="1:20" ht="15.75">
      <c r="A67" s="172"/>
      <c r="B67" s="189"/>
      <c r="C67" s="194" t="s">
        <v>236</v>
      </c>
      <c r="D67" s="194" t="s">
        <v>237</v>
      </c>
      <c r="E67" s="3" t="s">
        <v>238</v>
      </c>
      <c r="F67" s="3"/>
      <c r="G67" s="32">
        <v>1</v>
      </c>
      <c r="H67" s="29" t="s">
        <v>128</v>
      </c>
      <c r="I67" s="14" t="s">
        <v>41</v>
      </c>
      <c r="J67" s="3"/>
      <c r="K67" s="5"/>
      <c r="L67" s="179"/>
      <c r="M67" s="3"/>
      <c r="N67" s="185"/>
      <c r="O67" s="170"/>
      <c r="P67" s="170"/>
      <c r="Q67" s="170"/>
      <c r="R67" s="3"/>
      <c r="S67" s="3"/>
      <c r="T67" s="3"/>
    </row>
    <row r="68" spans="1:20" ht="15.75">
      <c r="A68" s="172"/>
      <c r="B68" s="189"/>
      <c r="C68" s="195"/>
      <c r="D68" s="195"/>
      <c r="E68" s="3" t="s">
        <v>239</v>
      </c>
      <c r="F68" s="3"/>
      <c r="G68" s="32">
        <v>1</v>
      </c>
      <c r="H68" s="29" t="s">
        <v>128</v>
      </c>
      <c r="I68" s="14" t="s">
        <v>41</v>
      </c>
      <c r="J68" s="3"/>
      <c r="K68" s="5"/>
      <c r="L68" s="179"/>
      <c r="M68" s="3"/>
      <c r="N68" s="185"/>
      <c r="O68" s="170"/>
      <c r="P68" s="170"/>
      <c r="Q68" s="170"/>
      <c r="R68" s="3"/>
      <c r="S68" s="3"/>
      <c r="T68" s="3"/>
    </row>
    <row r="69" spans="1:20" ht="15.75">
      <c r="A69" s="172"/>
      <c r="B69" s="189"/>
      <c r="C69" s="195"/>
      <c r="D69" s="195"/>
      <c r="E69" s="3" t="s">
        <v>240</v>
      </c>
      <c r="F69" s="3"/>
      <c r="G69" s="32">
        <v>1</v>
      </c>
      <c r="H69" s="29" t="s">
        <v>128</v>
      </c>
      <c r="I69" s="14" t="s">
        <v>41</v>
      </c>
      <c r="J69" s="3"/>
      <c r="K69" s="5"/>
      <c r="L69" s="179"/>
      <c r="M69" s="3"/>
      <c r="N69" s="185"/>
      <c r="O69" s="170"/>
      <c r="P69" s="170"/>
      <c r="Q69" s="170"/>
      <c r="R69" s="3"/>
      <c r="S69" s="3"/>
      <c r="T69" s="3"/>
    </row>
    <row r="70" spans="1:20" ht="15.75">
      <c r="A70" s="172"/>
      <c r="B70" s="189"/>
      <c r="C70" s="195"/>
      <c r="D70" s="195"/>
      <c r="E70" s="3" t="s">
        <v>241</v>
      </c>
      <c r="F70" s="3"/>
      <c r="G70" s="32">
        <v>1</v>
      </c>
      <c r="H70" s="29" t="s">
        <v>128</v>
      </c>
      <c r="I70" s="14" t="s">
        <v>41</v>
      </c>
      <c r="J70" s="3"/>
      <c r="K70" s="5"/>
      <c r="L70" s="179"/>
      <c r="M70" s="3"/>
      <c r="N70" s="185"/>
      <c r="O70" s="170"/>
      <c r="P70" s="170"/>
      <c r="Q70" s="170"/>
      <c r="R70" s="3"/>
      <c r="S70" s="3"/>
      <c r="T70" s="3"/>
    </row>
    <row r="71" spans="1:20" ht="15.75">
      <c r="A71" s="172"/>
      <c r="B71" s="189"/>
      <c r="C71" s="195"/>
      <c r="D71" s="195"/>
      <c r="E71" s="3" t="s">
        <v>241</v>
      </c>
      <c r="F71" s="3"/>
      <c r="G71" s="32">
        <v>1</v>
      </c>
      <c r="H71" s="29" t="s">
        <v>128</v>
      </c>
      <c r="I71" s="14" t="s">
        <v>41</v>
      </c>
      <c r="J71" s="3"/>
      <c r="K71" s="5"/>
      <c r="L71" s="179"/>
      <c r="M71" s="3"/>
      <c r="N71" s="185"/>
      <c r="O71" s="170"/>
      <c r="P71" s="170"/>
      <c r="Q71" s="170"/>
      <c r="R71" s="3"/>
      <c r="S71" s="3"/>
      <c r="T71" s="3"/>
    </row>
    <row r="72" spans="1:20" ht="15.75">
      <c r="A72" s="172"/>
      <c r="B72" s="189"/>
      <c r="C72" s="195"/>
      <c r="D72" s="195"/>
      <c r="E72" s="3" t="s">
        <v>242</v>
      </c>
      <c r="F72" s="3"/>
      <c r="G72" s="32">
        <v>1</v>
      </c>
      <c r="H72" s="29" t="s">
        <v>128</v>
      </c>
      <c r="I72" s="14" t="s">
        <v>41</v>
      </c>
      <c r="J72" s="3"/>
      <c r="K72" s="5"/>
      <c r="L72" s="179"/>
      <c r="M72" s="3"/>
      <c r="N72" s="185"/>
      <c r="O72" s="170"/>
      <c r="P72" s="170"/>
      <c r="Q72" s="170"/>
      <c r="R72" s="3"/>
      <c r="S72" s="3"/>
      <c r="T72" s="3"/>
    </row>
    <row r="73" spans="1:20" ht="15.75">
      <c r="A73" s="172"/>
      <c r="B73" s="189"/>
      <c r="C73" s="196"/>
      <c r="D73" s="196"/>
      <c r="E73" s="168" t="s">
        <v>243</v>
      </c>
      <c r="F73" s="3"/>
      <c r="G73" s="32">
        <v>1</v>
      </c>
      <c r="H73" s="29" t="s">
        <v>128</v>
      </c>
      <c r="I73" s="14" t="s">
        <v>41</v>
      </c>
      <c r="J73" s="3"/>
      <c r="K73" s="5"/>
      <c r="L73" s="179"/>
      <c r="M73" s="3"/>
      <c r="N73" s="185"/>
      <c r="O73" s="170"/>
      <c r="P73" s="170"/>
      <c r="Q73" s="170"/>
      <c r="R73" s="3"/>
      <c r="S73" s="3"/>
      <c r="T73" s="3"/>
    </row>
    <row r="74" spans="1:20" ht="15.75">
      <c r="A74" s="172"/>
      <c r="B74" s="189"/>
      <c r="C74" s="3" t="s">
        <v>244</v>
      </c>
      <c r="D74" s="3" t="s">
        <v>59</v>
      </c>
      <c r="E74" s="3" t="s">
        <v>245</v>
      </c>
      <c r="F74" s="3"/>
      <c r="G74" s="32">
        <v>1</v>
      </c>
      <c r="H74" s="29" t="s">
        <v>128</v>
      </c>
      <c r="I74" s="14" t="s">
        <v>41</v>
      </c>
      <c r="J74" s="3"/>
      <c r="K74" s="5"/>
      <c r="L74" s="179"/>
      <c r="M74" s="3"/>
      <c r="N74" s="185"/>
      <c r="O74" s="170"/>
      <c r="P74" s="170"/>
      <c r="Q74" s="170"/>
      <c r="R74" s="3"/>
      <c r="S74" s="3"/>
      <c r="T74" s="3"/>
    </row>
    <row r="75" spans="1:20" ht="65.25">
      <c r="A75" s="172"/>
      <c r="B75" s="202" t="s">
        <v>60</v>
      </c>
      <c r="C75" s="9" t="s">
        <v>246</v>
      </c>
      <c r="D75" s="37" t="s">
        <v>247</v>
      </c>
      <c r="E75" s="9"/>
      <c r="F75" s="9"/>
      <c r="G75" s="32">
        <v>1</v>
      </c>
      <c r="H75" s="29" t="s">
        <v>128</v>
      </c>
      <c r="I75" s="14" t="s">
        <v>41</v>
      </c>
      <c r="J75" s="3"/>
      <c r="K75" s="3"/>
      <c r="L75" s="179"/>
      <c r="M75" s="3"/>
      <c r="N75" s="185"/>
      <c r="O75" s="170"/>
      <c r="P75" s="170"/>
      <c r="Q75" s="170"/>
      <c r="R75" s="3"/>
      <c r="S75" s="3"/>
      <c r="T75" s="3"/>
    </row>
    <row r="76" spans="1:20" ht="33">
      <c r="A76" s="172"/>
      <c r="B76" s="203"/>
      <c r="C76" s="9" t="s">
        <v>248</v>
      </c>
      <c r="D76" s="37" t="s">
        <v>249</v>
      </c>
      <c r="E76" s="9"/>
      <c r="F76" s="9"/>
      <c r="G76" s="32">
        <v>1</v>
      </c>
      <c r="H76" s="29" t="s">
        <v>128</v>
      </c>
      <c r="I76" s="14" t="s">
        <v>41</v>
      </c>
      <c r="J76" s="3"/>
      <c r="K76" s="3"/>
      <c r="L76" s="34"/>
      <c r="M76" s="3"/>
      <c r="N76" s="185"/>
      <c r="O76" s="170"/>
      <c r="P76" s="170"/>
      <c r="Q76" s="170"/>
      <c r="R76" s="3"/>
      <c r="S76" s="3"/>
      <c r="T76" s="3"/>
    </row>
    <row r="77" spans="1:20" ht="15.75">
      <c r="A77" s="172"/>
      <c r="B77" s="203"/>
      <c r="C77" s="9" t="s">
        <v>250</v>
      </c>
      <c r="D77" s="9" t="s">
        <v>245</v>
      </c>
      <c r="E77" s="9"/>
      <c r="F77" s="9"/>
      <c r="G77" s="32">
        <v>1</v>
      </c>
      <c r="H77" s="29" t="s">
        <v>128</v>
      </c>
      <c r="I77" s="14" t="s">
        <v>41</v>
      </c>
      <c r="J77" s="3"/>
      <c r="K77" s="3"/>
      <c r="L77" s="34"/>
      <c r="M77" s="3"/>
      <c r="N77" s="185"/>
      <c r="O77" s="170"/>
      <c r="P77" s="170"/>
      <c r="Q77" s="170"/>
      <c r="R77" s="3"/>
      <c r="S77" s="3"/>
      <c r="T77" s="3"/>
    </row>
    <row r="78" spans="1:20" ht="15.75">
      <c r="A78" s="172"/>
      <c r="B78" s="203"/>
      <c r="C78" s="9" t="s">
        <v>251</v>
      </c>
      <c r="D78" s="9"/>
      <c r="E78" s="9"/>
      <c r="F78" s="9"/>
      <c r="G78" s="32">
        <v>1</v>
      </c>
      <c r="H78" s="29" t="s">
        <v>128</v>
      </c>
      <c r="I78" s="14" t="s">
        <v>41</v>
      </c>
      <c r="J78" s="3"/>
      <c r="K78" s="3"/>
      <c r="L78" s="34"/>
      <c r="M78" s="3"/>
      <c r="N78" s="185"/>
      <c r="O78" s="170"/>
      <c r="P78" s="170"/>
      <c r="Q78" s="170"/>
      <c r="R78" s="3"/>
      <c r="S78" s="3"/>
      <c r="T78" s="3"/>
    </row>
    <row r="79" spans="1:20" ht="15.75">
      <c r="A79" s="172"/>
      <c r="B79" s="203"/>
      <c r="C79" s="9" t="s">
        <v>252</v>
      </c>
      <c r="D79" s="9"/>
      <c r="E79" s="9"/>
      <c r="F79" s="9"/>
      <c r="G79" s="32">
        <v>1</v>
      </c>
      <c r="H79" s="29" t="s">
        <v>128</v>
      </c>
      <c r="I79" s="14" t="s">
        <v>41</v>
      </c>
      <c r="J79" s="3"/>
      <c r="K79" s="3"/>
      <c r="L79" s="34"/>
      <c r="M79" s="3"/>
      <c r="N79" s="185"/>
      <c r="O79" s="170"/>
      <c r="P79" s="170"/>
      <c r="Q79" s="170"/>
      <c r="R79" s="3"/>
      <c r="S79" s="3"/>
      <c r="T79" s="3"/>
    </row>
    <row r="80" spans="1:20" ht="15.75">
      <c r="A80" s="172"/>
      <c r="B80" s="203"/>
      <c r="C80" s="9" t="s">
        <v>253</v>
      </c>
      <c r="D80" s="9"/>
      <c r="E80" s="9"/>
      <c r="F80" s="9"/>
      <c r="G80" s="32">
        <v>1</v>
      </c>
      <c r="H80" s="29" t="s">
        <v>128</v>
      </c>
      <c r="I80" s="14" t="s">
        <v>41</v>
      </c>
      <c r="J80" s="3"/>
      <c r="K80" s="3"/>
      <c r="L80" s="34"/>
      <c r="M80" s="3"/>
      <c r="N80" s="185"/>
      <c r="O80" s="170"/>
      <c r="P80" s="170"/>
      <c r="Q80" s="170"/>
      <c r="R80" s="3"/>
      <c r="S80" s="3"/>
      <c r="T80" s="3"/>
    </row>
    <row r="81" spans="1:20" ht="15.75">
      <c r="A81" s="172"/>
      <c r="B81" s="203"/>
      <c r="C81" s="9" t="s">
        <v>254</v>
      </c>
      <c r="D81" s="9"/>
      <c r="E81" s="9"/>
      <c r="F81" s="9"/>
      <c r="G81" s="32">
        <v>1</v>
      </c>
      <c r="H81" s="29" t="s">
        <v>128</v>
      </c>
      <c r="I81" s="14" t="s">
        <v>41</v>
      </c>
      <c r="J81" s="3"/>
      <c r="K81" s="3"/>
      <c r="L81" s="34"/>
      <c r="M81" s="3"/>
      <c r="N81" s="185"/>
      <c r="O81" s="170"/>
      <c r="P81" s="170"/>
      <c r="Q81" s="170"/>
      <c r="R81" s="3"/>
      <c r="S81" s="3"/>
      <c r="T81" s="3"/>
    </row>
    <row r="82" spans="1:20" ht="15.75">
      <c r="A82" s="177"/>
      <c r="B82" s="204"/>
      <c r="C82" s="9" t="s">
        <v>255</v>
      </c>
      <c r="D82" s="9" t="s">
        <v>256</v>
      </c>
      <c r="E82" s="9"/>
      <c r="F82" s="9"/>
      <c r="G82" s="32">
        <v>1</v>
      </c>
      <c r="H82" s="29" t="s">
        <v>128</v>
      </c>
      <c r="I82" s="14" t="s">
        <v>41</v>
      </c>
      <c r="J82" s="3"/>
      <c r="K82" s="3"/>
      <c r="L82" s="34"/>
      <c r="M82" s="3"/>
      <c r="N82" s="185"/>
      <c r="O82" s="170"/>
      <c r="P82" s="170"/>
      <c r="Q82" s="170"/>
      <c r="R82" s="3"/>
      <c r="S82" s="3"/>
      <c r="T82" s="3"/>
    </row>
    <row r="83" spans="1:20" ht="52.5" customHeight="1">
      <c r="A83" s="175" t="s">
        <v>69</v>
      </c>
      <c r="B83" s="200" t="s">
        <v>70</v>
      </c>
      <c r="C83" s="39" t="s">
        <v>257</v>
      </c>
      <c r="D83" s="36" t="s">
        <v>258</v>
      </c>
      <c r="E83" s="3"/>
      <c r="F83" s="3"/>
      <c r="G83" s="3"/>
      <c r="H83" s="29" t="s">
        <v>259</v>
      </c>
      <c r="I83" s="6"/>
      <c r="J83" s="6"/>
      <c r="K83" s="6" t="s">
        <v>72</v>
      </c>
      <c r="L83" s="3"/>
      <c r="M83" s="3"/>
      <c r="N83" s="185"/>
      <c r="O83" s="170"/>
      <c r="P83" s="170"/>
      <c r="Q83" s="170"/>
      <c r="R83" s="3"/>
      <c r="S83" s="3"/>
      <c r="T83" s="3"/>
    </row>
    <row r="84" spans="1:20" ht="15.75">
      <c r="A84" s="175"/>
      <c r="B84" s="201"/>
      <c r="C84" s="39" t="s">
        <v>71</v>
      </c>
      <c r="D84" s="3"/>
      <c r="E84" s="3"/>
      <c r="F84" s="3"/>
      <c r="G84" s="3"/>
      <c r="H84" s="3" t="s">
        <v>141</v>
      </c>
      <c r="I84" s="6" t="s">
        <v>71</v>
      </c>
      <c r="J84" s="6"/>
      <c r="K84" s="6"/>
      <c r="L84" s="3"/>
      <c r="M84" s="3"/>
      <c r="N84" s="185"/>
      <c r="O84" s="170"/>
      <c r="P84" s="170"/>
      <c r="Q84" s="170"/>
      <c r="R84" s="3"/>
      <c r="S84" s="3"/>
      <c r="T84" s="3"/>
    </row>
    <row r="85" spans="1:20" ht="15.75">
      <c r="A85" s="176"/>
      <c r="B85" s="3" t="s">
        <v>81</v>
      </c>
      <c r="C85" s="3"/>
      <c r="D85" s="3"/>
      <c r="E85" s="3"/>
      <c r="F85" s="3"/>
      <c r="G85" s="3"/>
      <c r="H85" s="3"/>
      <c r="I85" s="6" t="s">
        <v>82</v>
      </c>
      <c r="J85" s="3"/>
      <c r="K85" s="6" t="s">
        <v>260</v>
      </c>
      <c r="L85" s="6" t="s">
        <v>261</v>
      </c>
      <c r="M85" s="3"/>
      <c r="N85" s="185"/>
      <c r="O85" s="170"/>
      <c r="P85" s="170"/>
      <c r="Q85" s="170"/>
      <c r="R85" s="3"/>
      <c r="S85" s="3"/>
      <c r="T85" s="3"/>
    </row>
    <row r="86" spans="1:20" ht="15.75">
      <c r="A86" s="176"/>
      <c r="B86" s="3" t="s">
        <v>73</v>
      </c>
      <c r="C86" s="3"/>
      <c r="D86" s="3"/>
      <c r="E86" s="3"/>
      <c r="F86" s="3"/>
      <c r="G86" s="3"/>
      <c r="H86" s="3"/>
      <c r="I86" s="3"/>
      <c r="J86" s="3"/>
      <c r="K86" s="3"/>
      <c r="L86" s="3"/>
      <c r="M86" s="6" t="s">
        <v>74</v>
      </c>
      <c r="N86" s="185"/>
      <c r="O86" s="170"/>
      <c r="P86" s="170"/>
      <c r="Q86" s="170"/>
      <c r="R86" s="3"/>
      <c r="S86" s="3"/>
      <c r="T86" s="3"/>
    </row>
    <row r="87" spans="1:20" ht="15.75">
      <c r="A87" s="176"/>
      <c r="B87" s="3" t="s">
        <v>75</v>
      </c>
      <c r="C87" s="3"/>
      <c r="D87" s="3"/>
      <c r="E87" s="3"/>
      <c r="F87" s="3"/>
      <c r="G87" s="3"/>
      <c r="H87" s="3"/>
      <c r="I87" s="3"/>
      <c r="J87" s="1"/>
      <c r="K87" s="3"/>
      <c r="L87" s="3"/>
      <c r="M87" s="6" t="s">
        <v>76</v>
      </c>
      <c r="N87" s="185"/>
      <c r="O87" s="170"/>
      <c r="P87" s="170"/>
      <c r="Q87" s="170"/>
      <c r="R87" s="3"/>
      <c r="S87" s="3"/>
      <c r="T87" s="3"/>
    </row>
    <row r="88" spans="1:20" ht="15.75">
      <c r="A88" s="176"/>
      <c r="B88" s="3" t="s">
        <v>77</v>
      </c>
      <c r="C88" s="3"/>
      <c r="D88" s="3"/>
      <c r="E88" s="3"/>
      <c r="F88" s="3"/>
      <c r="G88" s="3"/>
      <c r="H88" s="3"/>
      <c r="I88" s="3"/>
      <c r="K88" s="3"/>
      <c r="L88" s="6" t="s">
        <v>262</v>
      </c>
      <c r="M88" s="3"/>
      <c r="N88" s="185"/>
      <c r="O88" s="170"/>
      <c r="P88" s="170"/>
      <c r="Q88" s="170"/>
      <c r="R88" s="3"/>
      <c r="S88" s="3"/>
      <c r="T88" s="3"/>
    </row>
    <row r="89" spans="1:20" ht="15.75">
      <c r="A89" s="176"/>
      <c r="B89" s="39" t="s">
        <v>79</v>
      </c>
      <c r="C89" s="3"/>
      <c r="D89" s="3"/>
      <c r="E89" s="3"/>
      <c r="F89" s="3"/>
      <c r="G89" s="3"/>
      <c r="H89" s="3"/>
      <c r="I89" s="3"/>
      <c r="J89" s="6" t="s">
        <v>80</v>
      </c>
      <c r="L89" s="6"/>
      <c r="M89" s="6" t="s">
        <v>74</v>
      </c>
      <c r="N89" s="185"/>
      <c r="O89" s="170"/>
      <c r="P89" s="170"/>
      <c r="Q89" s="170"/>
      <c r="R89" s="3"/>
      <c r="S89" s="3"/>
      <c r="T89" s="3"/>
    </row>
    <row r="90" spans="1:20" ht="15.75">
      <c r="A90" s="15" t="s">
        <v>86</v>
      </c>
      <c r="B90" s="3" t="s">
        <v>87</v>
      </c>
      <c r="C90" s="3"/>
      <c r="D90" s="3"/>
      <c r="E90" s="3"/>
      <c r="F90" s="3"/>
      <c r="G90" s="3"/>
      <c r="H90" s="3"/>
      <c r="I90" s="3"/>
      <c r="J90" s="3"/>
      <c r="K90" s="6" t="s">
        <v>263</v>
      </c>
      <c r="L90" s="3"/>
      <c r="M90" s="3"/>
      <c r="N90" s="185"/>
      <c r="O90" s="170"/>
      <c r="P90" s="170"/>
      <c r="Q90" s="170"/>
      <c r="R90" s="9"/>
      <c r="S90" s="9"/>
      <c r="T90" s="9"/>
    </row>
    <row r="91" spans="1:20" ht="32.25">
      <c r="A91" s="67" t="s">
        <v>89</v>
      </c>
      <c r="B91" s="68" t="s">
        <v>264</v>
      </c>
      <c r="C91" s="9"/>
      <c r="D91" s="9"/>
      <c r="E91" s="9"/>
      <c r="F91" s="9"/>
      <c r="G91" s="9"/>
      <c r="H91" s="9"/>
      <c r="I91" s="9"/>
      <c r="J91" s="9"/>
      <c r="K91" s="9"/>
      <c r="L91" s="70" t="s">
        <v>265</v>
      </c>
      <c r="M91" s="70" t="s">
        <v>266</v>
      </c>
      <c r="N91" s="186"/>
      <c r="O91" s="170"/>
      <c r="P91" s="170"/>
      <c r="Q91" s="170"/>
      <c r="R91" s="9"/>
      <c r="S91" s="9"/>
      <c r="T91" s="9"/>
    </row>
    <row r="92" spans="1:20" ht="15.75">
      <c r="A92" s="26" t="s">
        <v>91</v>
      </c>
      <c r="B92" s="27" t="s">
        <v>92</v>
      </c>
      <c r="C92" s="27"/>
      <c r="D92" s="27"/>
      <c r="E92" s="27"/>
      <c r="F92" s="27"/>
      <c r="G92" s="27"/>
      <c r="H92" s="27"/>
      <c r="I92" s="9"/>
      <c r="J92" s="9"/>
      <c r="K92" s="9"/>
      <c r="L92" s="21"/>
      <c r="M92" s="21"/>
      <c r="N92" s="22"/>
      <c r="O92" s="7"/>
      <c r="P92" s="7"/>
      <c r="Q92" s="7"/>
      <c r="R92" s="23"/>
      <c r="S92" s="9"/>
      <c r="T92" s="9"/>
    </row>
    <row r="93" spans="1:20" ht="32.25">
      <c r="A93" s="17" t="s">
        <v>93</v>
      </c>
      <c r="B93" s="19" t="s">
        <v>94</v>
      </c>
      <c r="C93" s="19"/>
      <c r="D93" s="19"/>
      <c r="E93" s="19"/>
      <c r="F93" s="19"/>
      <c r="G93" s="19"/>
      <c r="H93" s="19"/>
      <c r="I93" s="9"/>
      <c r="J93" s="9"/>
      <c r="K93" s="9"/>
      <c r="L93" s="9"/>
      <c r="M93" s="9"/>
      <c r="N93" s="9"/>
      <c r="O93" s="24" t="s">
        <v>95</v>
      </c>
      <c r="P93" s="25"/>
      <c r="Q93" s="25"/>
      <c r="R93" s="18"/>
      <c r="S93" s="18"/>
      <c r="T93" s="18"/>
    </row>
    <row r="94" spans="1:20" ht="15.75">
      <c r="A94" s="3" t="s">
        <v>96</v>
      </c>
      <c r="B94" s="20" t="s">
        <v>97</v>
      </c>
      <c r="C94" s="20"/>
      <c r="D94" s="20"/>
      <c r="E94" s="20"/>
      <c r="F94" s="20"/>
      <c r="G94" s="20"/>
      <c r="H94" s="20"/>
      <c r="I94" s="3"/>
      <c r="J94" s="3"/>
      <c r="K94" s="3"/>
      <c r="L94" s="3"/>
      <c r="M94" s="3"/>
      <c r="N94" s="3"/>
      <c r="O94" s="16" t="s">
        <v>98</v>
      </c>
      <c r="P94" s="16"/>
      <c r="Q94" s="16"/>
      <c r="R94" s="16"/>
      <c r="S94" s="16"/>
      <c r="T94" s="16"/>
    </row>
  </sheetData>
  <autoFilter ref="H1:H109" xr:uid="{06133C26-1011-4672-872E-64EFED941D60}"/>
  <mergeCells count="29">
    <mergeCell ref="B83:B84"/>
    <mergeCell ref="A2:A82"/>
    <mergeCell ref="B75:B82"/>
    <mergeCell ref="B18:B45"/>
    <mergeCell ref="C51:C65"/>
    <mergeCell ref="E39:E41"/>
    <mergeCell ref="C26:C28"/>
    <mergeCell ref="C29:C31"/>
    <mergeCell ref="D51:D54"/>
    <mergeCell ref="D55:D64"/>
    <mergeCell ref="C32:C45"/>
    <mergeCell ref="D33:D37"/>
    <mergeCell ref="D38:D41"/>
    <mergeCell ref="Q2:Q91"/>
    <mergeCell ref="A83:A89"/>
    <mergeCell ref="B7:B17"/>
    <mergeCell ref="L2:L75"/>
    <mergeCell ref="N2:N91"/>
    <mergeCell ref="O2:O91"/>
    <mergeCell ref="P2:P91"/>
    <mergeCell ref="D42:D43"/>
    <mergeCell ref="D44:D45"/>
    <mergeCell ref="B2:B6"/>
    <mergeCell ref="C23:C25"/>
    <mergeCell ref="I39:I41"/>
    <mergeCell ref="C67:C73"/>
    <mergeCell ref="D67:D73"/>
    <mergeCell ref="B47:B74"/>
    <mergeCell ref="C47:C50"/>
  </mergeCells>
  <hyperlinks>
    <hyperlink ref="D15" location="'NEW'!B71" display="Dashboard - 機台連線送印" xr:uid="{E79B7A84-EA91-43D9-AACA-B66BD2D8D49F}"/>
    <hyperlink ref="E43" location="'NEW'!E37" display="自動長支撐" xr:uid="{2C8580F7-ED3B-4D29-BD38-6A24B0265BF6}"/>
    <hyperlink ref="E45" location="'NEW'!E37" display="自動長支撐" xr:uid="{B2FE0EAF-3784-4884-8A3A-13F303F3149F}"/>
    <hyperlink ref="E39:E41" r:id="rId1" display="自動長支撐" xr:uid="{4B3A1DAD-8900-45E2-B555-9982EAC8BCC1}"/>
    <hyperlink ref="D31" r:id="rId2" xr:uid="{0957CC06-8615-48BB-9D67-885A28FF7066}"/>
    <hyperlink ref="E36" r:id="rId3" xr:uid="{3CA328F7-AD0A-4DC5-BE74-26472ABE57FA}"/>
    <hyperlink ref="E37" r:id="rId4" xr:uid="{F756C239-8C8F-48EB-A72B-9E3AE9004248}"/>
    <hyperlink ref="B46" r:id="rId5" xr:uid="{5B911C54-0FDA-4FC7-8715-4493DB4B139D}"/>
    <hyperlink ref="D65" r:id="rId6" xr:uid="{90F6C9DB-9162-4C38-BA0D-27DFD99509A7}"/>
    <hyperlink ref="C83" r:id="rId7" xr:uid="{931CFB47-1131-424E-B35D-984FE4D6E703}"/>
    <hyperlink ref="C84" r:id="rId8" xr:uid="{C9BB2AAC-B1EA-4172-AD84-D3C226E121EF}"/>
    <hyperlink ref="B89" r:id="rId9" xr:uid="{0E05309C-D533-42D0-BE93-EDD20E14655A}"/>
    <hyperlink ref="D7" location="'NEW'!B89" display="顯示專案名稱 " xr:uid="{0879FCEA-2C6E-4000-A939-6232F046CF34}"/>
    <hyperlink ref="E9" location="'NEW'!B89" display="新增專案" xr:uid="{7EF0CF78-7E98-45EC-A997-085622261FC1}"/>
    <hyperlink ref="E10" location="'NEW'!B89" display="開啟專案" xr:uid="{2F4FF3F3-AD07-4F07-B15C-02771CF47D2B}"/>
    <hyperlink ref="E11" location="'NEW'!B89" display="儲存專案" xr:uid="{17598A9C-3FD8-4193-878E-39928E6C1540}"/>
    <hyperlink ref="E12" location="'NEW'!B89" display="近期使用紀錄 (專案)" xr:uid="{B146AF35-BAA2-4A5F-B8A7-CCAAEE48D307}"/>
    <hyperlink ref="E35" r:id="rId10" xr:uid="{61C0E163-5BC3-41FB-BC30-FB3CDAA499B1}"/>
  </hyperlinks>
  <pageMargins left="0.7" right="0.7" top="0.75" bottom="0.75" header="0.3" footer="0.3"/>
  <legacy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2A0A-1848-466A-BF5B-69B1D96E0176}">
  <dimension ref="A1:F13"/>
  <sheetViews>
    <sheetView workbookViewId="0">
      <selection activeCell="B16" sqref="B16"/>
    </sheetView>
  </sheetViews>
  <sheetFormatPr defaultRowHeight="15"/>
  <cols>
    <col min="1" max="1" width="10.375" style="44" customWidth="1"/>
    <col min="2" max="2" width="44.625" style="44" customWidth="1"/>
    <col min="3" max="3" width="40.5" style="44" customWidth="1"/>
    <col min="4" max="4" width="1.375" style="44" customWidth="1"/>
    <col min="5" max="5" width="12.875" style="44" customWidth="1"/>
    <col min="6" max="6" width="38.25" style="44" customWidth="1"/>
    <col min="7" max="16384" width="9" style="44"/>
  </cols>
  <sheetData>
    <row r="1" spans="1:6" ht="24" customHeight="1">
      <c r="A1" s="206" t="s">
        <v>267</v>
      </c>
      <c r="B1" s="207"/>
      <c r="C1" s="208"/>
      <c r="D1" s="45"/>
      <c r="E1" s="205"/>
      <c r="F1" s="205"/>
    </row>
    <row r="2" spans="1:6" ht="15.75">
      <c r="A2" s="57"/>
      <c r="B2" s="56" t="s">
        <v>268</v>
      </c>
      <c r="C2" s="63" t="s">
        <v>269</v>
      </c>
      <c r="D2" s="45"/>
      <c r="E2" s="54"/>
      <c r="F2" s="55"/>
    </row>
    <row r="3" spans="1:6" ht="52.5" customHeight="1">
      <c r="A3" s="51" t="s">
        <v>270</v>
      </c>
      <c r="B3" s="46" t="s">
        <v>271</v>
      </c>
      <c r="C3" s="49" t="s">
        <v>272</v>
      </c>
      <c r="D3" s="45"/>
      <c r="E3" s="45"/>
      <c r="F3" s="60"/>
    </row>
    <row r="4" spans="1:6" ht="50.25" customHeight="1">
      <c r="A4" s="51" t="s">
        <v>273</v>
      </c>
      <c r="B4" s="46" t="s">
        <v>274</v>
      </c>
      <c r="C4" s="49" t="s">
        <v>275</v>
      </c>
      <c r="D4" s="45"/>
      <c r="E4" s="61"/>
      <c r="F4" s="60"/>
    </row>
    <row r="5" spans="1:6" ht="98.25" customHeight="1">
      <c r="A5" s="52" t="s">
        <v>276</v>
      </c>
      <c r="B5" s="53" t="s">
        <v>277</v>
      </c>
      <c r="C5" s="50" t="s">
        <v>278</v>
      </c>
      <c r="D5" s="45"/>
      <c r="E5" s="62"/>
      <c r="F5" s="62"/>
    </row>
    <row r="6" spans="1:6" ht="19.5" customHeight="1">
      <c r="A6" s="45"/>
      <c r="B6" s="45"/>
      <c r="C6" s="45"/>
      <c r="D6" s="45"/>
      <c r="E6" s="62"/>
      <c r="F6" s="62"/>
    </row>
    <row r="7" spans="1:6" ht="22.5" customHeight="1">
      <c r="A7" s="206" t="s">
        <v>279</v>
      </c>
      <c r="B7" s="207"/>
      <c r="C7" s="208"/>
      <c r="E7" s="62"/>
      <c r="F7" s="62"/>
    </row>
    <row r="8" spans="1:6" ht="15.75">
      <c r="A8" s="57"/>
      <c r="B8" s="56" t="s">
        <v>268</v>
      </c>
      <c r="C8" s="63"/>
    </row>
    <row r="9" spans="1:6" ht="48.75">
      <c r="A9" s="51" t="s">
        <v>280</v>
      </c>
      <c r="B9" s="58" t="s">
        <v>281</v>
      </c>
      <c r="C9" s="64"/>
    </row>
    <row r="10" spans="1:6" ht="33">
      <c r="A10" s="47" t="s">
        <v>282</v>
      </c>
      <c r="B10" s="58" t="s">
        <v>283</v>
      </c>
      <c r="C10" s="64"/>
    </row>
    <row r="11" spans="1:6" ht="48.75">
      <c r="A11" s="48" t="s">
        <v>273</v>
      </c>
      <c r="B11" s="46" t="s">
        <v>284</v>
      </c>
      <c r="C11" s="64"/>
    </row>
    <row r="12" spans="1:6" ht="18" customHeight="1">
      <c r="A12" s="48" t="s">
        <v>285</v>
      </c>
      <c r="B12" s="46" t="s">
        <v>286</v>
      </c>
      <c r="C12" s="64"/>
    </row>
    <row r="13" spans="1:6" ht="52.5" customHeight="1">
      <c r="A13" s="59" t="s">
        <v>287</v>
      </c>
      <c r="B13" s="53" t="s">
        <v>288</v>
      </c>
      <c r="C13" s="65"/>
    </row>
  </sheetData>
  <mergeCells count="3">
    <mergeCell ref="E1:F1"/>
    <mergeCell ref="A1:C1"/>
    <mergeCell ref="A7: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F5B8-9B5D-4E39-9F5D-9DC4DBA9EA8B}">
  <dimension ref="A1:O50"/>
  <sheetViews>
    <sheetView workbookViewId="0">
      <selection activeCell="C25" sqref="C25"/>
    </sheetView>
  </sheetViews>
  <sheetFormatPr defaultRowHeight="15.75"/>
  <cols>
    <col min="1" max="1" width="17.125" style="1" customWidth="1"/>
    <col min="2" max="2" width="36.5" style="1" customWidth="1"/>
    <col min="3" max="3" width="19.5" style="1" customWidth="1"/>
    <col min="4" max="4" width="11.5" style="1" customWidth="1"/>
    <col min="5" max="5" width="9" style="1"/>
    <col min="6" max="6" width="9.5" style="1" customWidth="1"/>
    <col min="7" max="7" width="10.625" style="1" customWidth="1"/>
    <col min="8" max="8" width="3.375" style="1" customWidth="1"/>
    <col min="9" max="9" width="20" style="1" customWidth="1"/>
    <col min="10" max="10" width="40.25" style="1" customWidth="1"/>
    <col min="11" max="11" width="16.125" style="1" customWidth="1"/>
    <col min="12" max="16384" width="9" style="1"/>
  </cols>
  <sheetData>
    <row r="1" spans="1:15" ht="36.75" customHeight="1">
      <c r="A1" s="240" t="s">
        <v>289</v>
      </c>
      <c r="B1" s="241"/>
      <c r="C1" s="241"/>
      <c r="D1" s="241"/>
      <c r="E1" s="241"/>
      <c r="F1" s="241"/>
      <c r="G1" s="241"/>
    </row>
    <row r="2" spans="1:15" ht="27" customHeight="1">
      <c r="A2" s="141" t="s">
        <v>290</v>
      </c>
    </row>
    <row r="3" spans="1:15" s="78" customFormat="1" ht="18.75">
      <c r="A3" s="260" t="s">
        <v>291</v>
      </c>
      <c r="B3" s="260"/>
      <c r="C3" s="260"/>
      <c r="D3" s="260"/>
      <c r="E3" s="260"/>
      <c r="F3" s="77"/>
      <c r="G3" s="77"/>
      <c r="I3" s="260" t="s">
        <v>292</v>
      </c>
      <c r="J3" s="260"/>
      <c r="K3" s="260"/>
      <c r="L3" s="260"/>
      <c r="M3" s="260"/>
      <c r="N3" s="77"/>
      <c r="O3" s="77"/>
    </row>
    <row r="4" spans="1:15" ht="19.5" customHeight="1">
      <c r="A4" s="265" t="s">
        <v>293</v>
      </c>
      <c r="B4" s="265"/>
      <c r="C4" s="265"/>
      <c r="D4" s="265"/>
      <c r="E4" s="265"/>
      <c r="F4" s="265"/>
      <c r="G4" s="265"/>
      <c r="I4" s="266" t="s">
        <v>294</v>
      </c>
      <c r="J4" s="266"/>
      <c r="K4" s="266"/>
      <c r="L4" s="266"/>
      <c r="M4" s="266"/>
      <c r="N4" s="266"/>
      <c r="O4" s="266"/>
    </row>
    <row r="5" spans="1:15">
      <c r="A5" s="219" t="s">
        <v>295</v>
      </c>
      <c r="B5" s="220"/>
      <c r="C5" s="220"/>
      <c r="D5" s="220"/>
      <c r="E5" s="220"/>
      <c r="F5" s="220"/>
      <c r="G5" s="221"/>
      <c r="I5" s="271" t="s">
        <v>296</v>
      </c>
      <c r="J5" s="272"/>
      <c r="K5" s="272"/>
      <c r="L5" s="272"/>
      <c r="M5" s="272"/>
      <c r="N5" s="272"/>
      <c r="O5" s="273"/>
    </row>
    <row r="6" spans="1:15">
      <c r="A6" s="74" t="s">
        <v>0</v>
      </c>
      <c r="B6" s="74" t="s">
        <v>297</v>
      </c>
      <c r="C6" s="231" t="s">
        <v>298</v>
      </c>
      <c r="D6" s="232"/>
      <c r="E6" s="233"/>
      <c r="F6" s="81" t="s">
        <v>299</v>
      </c>
      <c r="G6" s="74" t="s">
        <v>300</v>
      </c>
      <c r="I6" s="74" t="s">
        <v>0</v>
      </c>
      <c r="J6" s="74" t="s">
        <v>297</v>
      </c>
      <c r="K6" s="74" t="s">
        <v>298</v>
      </c>
      <c r="L6" s="74"/>
      <c r="M6" s="74"/>
      <c r="N6" s="75" t="s">
        <v>299</v>
      </c>
      <c r="O6" s="74" t="s">
        <v>300</v>
      </c>
    </row>
    <row r="7" spans="1:15" ht="15" customHeight="1">
      <c r="A7" s="249" t="s">
        <v>301</v>
      </c>
      <c r="B7" s="267" t="s">
        <v>302</v>
      </c>
      <c r="C7" s="231" t="s">
        <v>303</v>
      </c>
      <c r="D7" s="232"/>
      <c r="E7" s="233"/>
      <c r="F7" s="72" t="s">
        <v>304</v>
      </c>
      <c r="G7" s="94" t="s">
        <v>32</v>
      </c>
      <c r="I7" s="209" t="s">
        <v>305</v>
      </c>
      <c r="J7" s="209" t="s">
        <v>306</v>
      </c>
      <c r="K7" s="3" t="s">
        <v>307</v>
      </c>
      <c r="L7" s="3"/>
      <c r="M7" s="3"/>
      <c r="N7" s="3" t="s">
        <v>308</v>
      </c>
      <c r="O7" s="3" t="s">
        <v>309</v>
      </c>
    </row>
    <row r="8" spans="1:15">
      <c r="A8" s="250"/>
      <c r="B8" s="267"/>
      <c r="C8" s="231" t="s">
        <v>310</v>
      </c>
      <c r="D8" s="232"/>
      <c r="E8" s="233"/>
      <c r="F8" s="72" t="s">
        <v>304</v>
      </c>
      <c r="G8" s="94" t="s">
        <v>32</v>
      </c>
      <c r="I8" s="209"/>
      <c r="J8" s="209"/>
      <c r="K8" s="3" t="s">
        <v>311</v>
      </c>
      <c r="L8" s="3"/>
      <c r="M8" s="3"/>
      <c r="N8" s="3" t="s">
        <v>308</v>
      </c>
      <c r="O8" s="3" t="s">
        <v>309</v>
      </c>
    </row>
    <row r="9" spans="1:15" ht="17.25" customHeight="1">
      <c r="A9" s="250"/>
      <c r="B9" s="267"/>
      <c r="C9" s="231"/>
      <c r="D9" s="232"/>
      <c r="E9" s="233"/>
      <c r="F9" s="72" t="s">
        <v>304</v>
      </c>
      <c r="G9" s="94" t="s">
        <v>32</v>
      </c>
      <c r="I9" s="209"/>
      <c r="J9" s="209"/>
      <c r="K9" s="3" t="s">
        <v>312</v>
      </c>
      <c r="L9" s="3"/>
      <c r="M9" s="3"/>
      <c r="N9" s="3" t="s">
        <v>308</v>
      </c>
      <c r="O9" s="3" t="s">
        <v>309</v>
      </c>
    </row>
    <row r="10" spans="1:15" ht="17.25" customHeight="1">
      <c r="A10" s="123" t="s">
        <v>313</v>
      </c>
      <c r="B10" s="122"/>
      <c r="C10" s="124"/>
      <c r="D10" s="125"/>
      <c r="E10" s="81"/>
      <c r="F10" s="72"/>
      <c r="G10" s="94"/>
      <c r="I10" s="209"/>
      <c r="J10" s="209"/>
      <c r="K10" s="3"/>
      <c r="L10" s="3"/>
      <c r="M10" s="3"/>
      <c r="N10" s="3"/>
      <c r="O10" s="3"/>
    </row>
    <row r="11" spans="1:15" ht="51.75" customHeight="1">
      <c r="A11" s="242" t="s">
        <v>314</v>
      </c>
      <c r="B11" s="242" t="s">
        <v>315</v>
      </c>
      <c r="C11" s="231" t="s">
        <v>316</v>
      </c>
      <c r="D11" s="232"/>
      <c r="E11" s="233"/>
      <c r="F11" s="72" t="s">
        <v>304</v>
      </c>
      <c r="G11" s="94" t="s">
        <v>32</v>
      </c>
      <c r="I11" s="209"/>
      <c r="J11" s="209"/>
      <c r="K11" s="86" t="s">
        <v>317</v>
      </c>
      <c r="L11" s="3"/>
      <c r="M11" s="3"/>
      <c r="N11" s="3" t="s">
        <v>308</v>
      </c>
      <c r="O11" s="3" t="s">
        <v>309</v>
      </c>
    </row>
    <row r="12" spans="1:15" ht="18.75" customHeight="1">
      <c r="A12" s="243"/>
      <c r="B12" s="243"/>
      <c r="C12" s="237" t="s">
        <v>318</v>
      </c>
      <c r="D12" s="238"/>
      <c r="E12" s="239"/>
      <c r="F12" s="72" t="s">
        <v>304</v>
      </c>
      <c r="G12" s="94" t="s">
        <v>32</v>
      </c>
      <c r="I12" s="210" t="s">
        <v>319</v>
      </c>
      <c r="J12" s="209" t="s">
        <v>320</v>
      </c>
      <c r="K12" s="3" t="s">
        <v>321</v>
      </c>
      <c r="L12" s="3"/>
      <c r="M12" s="3"/>
      <c r="N12" s="3" t="s">
        <v>308</v>
      </c>
      <c r="O12" s="3" t="s">
        <v>309</v>
      </c>
    </row>
    <row r="13" spans="1:15">
      <c r="A13" s="243"/>
      <c r="B13" s="243"/>
      <c r="C13" s="237" t="s">
        <v>322</v>
      </c>
      <c r="D13" s="238"/>
      <c r="E13" s="239"/>
      <c r="F13" s="72" t="s">
        <v>304</v>
      </c>
      <c r="G13" s="94" t="s">
        <v>32</v>
      </c>
      <c r="I13" s="210"/>
      <c r="J13" s="209"/>
      <c r="K13" s="3" t="s">
        <v>323</v>
      </c>
      <c r="L13" s="3"/>
      <c r="M13" s="3"/>
      <c r="N13" s="3" t="s">
        <v>308</v>
      </c>
      <c r="O13" s="3" t="s">
        <v>309</v>
      </c>
    </row>
    <row r="14" spans="1:15" ht="15.75" customHeight="1">
      <c r="A14" s="243"/>
      <c r="B14" s="243"/>
      <c r="C14" s="234" t="s">
        <v>324</v>
      </c>
      <c r="D14" s="235"/>
      <c r="E14" s="236"/>
      <c r="F14" s="97" t="s">
        <v>325</v>
      </c>
      <c r="G14" s="95">
        <v>2027</v>
      </c>
      <c r="I14" s="200" t="s">
        <v>326</v>
      </c>
      <c r="J14" s="213" t="s">
        <v>327</v>
      </c>
      <c r="K14" s="3" t="s">
        <v>328</v>
      </c>
      <c r="L14" s="3"/>
      <c r="M14" s="3"/>
      <c r="N14" s="3" t="s">
        <v>308</v>
      </c>
      <c r="O14" s="3" t="s">
        <v>309</v>
      </c>
    </row>
    <row r="15" spans="1:15">
      <c r="A15" s="244"/>
      <c r="B15" s="244"/>
      <c r="C15" s="83" t="s">
        <v>329</v>
      </c>
      <c r="D15" s="73"/>
      <c r="E15" s="76"/>
      <c r="F15" s="97" t="s">
        <v>304</v>
      </c>
      <c r="G15" s="95">
        <v>2027</v>
      </c>
      <c r="I15" s="212"/>
      <c r="J15" s="214"/>
      <c r="K15" s="3" t="s">
        <v>330</v>
      </c>
      <c r="L15" s="3"/>
      <c r="M15" s="3"/>
      <c r="N15" s="3" t="s">
        <v>308</v>
      </c>
      <c r="O15" s="3" t="s">
        <v>309</v>
      </c>
    </row>
    <row r="16" spans="1:15" ht="105" customHeight="1">
      <c r="A16" s="84" t="s">
        <v>331</v>
      </c>
      <c r="B16" s="85" t="s">
        <v>332</v>
      </c>
      <c r="C16" s="73"/>
      <c r="D16" s="73"/>
      <c r="E16" s="76"/>
      <c r="F16" s="97" t="s">
        <v>304</v>
      </c>
      <c r="G16" s="95">
        <v>2027</v>
      </c>
      <c r="I16" s="212"/>
      <c r="J16" s="214"/>
      <c r="K16" s="3"/>
      <c r="L16" s="3"/>
      <c r="M16" s="3"/>
      <c r="N16" s="3"/>
      <c r="O16" s="3"/>
    </row>
    <row r="17" spans="1:15" ht="18.75" customHeight="1">
      <c r="A17" s="86" t="s">
        <v>333</v>
      </c>
      <c r="B17" s="79" t="s">
        <v>334</v>
      </c>
      <c r="C17" s="80" t="s">
        <v>335</v>
      </c>
      <c r="D17" s="73"/>
      <c r="E17" s="76"/>
      <c r="F17" s="72" t="s">
        <v>304</v>
      </c>
      <c r="G17" s="94" t="s">
        <v>336</v>
      </c>
      <c r="I17" s="201"/>
      <c r="J17" s="215"/>
      <c r="K17" s="9"/>
      <c r="L17" s="9"/>
      <c r="M17" s="9"/>
      <c r="N17" s="9"/>
      <c r="O17" s="9"/>
    </row>
    <row r="18" spans="1:15">
      <c r="A18" s="261" t="s">
        <v>337</v>
      </c>
      <c r="B18" s="262"/>
      <c r="C18" s="262"/>
      <c r="D18" s="262"/>
      <c r="E18" s="262"/>
      <c r="F18" s="262"/>
      <c r="G18" s="262"/>
      <c r="I18" s="211" t="s">
        <v>338</v>
      </c>
      <c r="J18" s="211"/>
      <c r="K18" s="211"/>
      <c r="L18" s="211"/>
      <c r="M18" s="211"/>
      <c r="N18" s="211"/>
      <c r="O18" s="211"/>
    </row>
    <row r="19" spans="1:15">
      <c r="A19" s="3" t="s">
        <v>0</v>
      </c>
      <c r="B19" s="3" t="s">
        <v>297</v>
      </c>
      <c r="C19" s="210" t="s">
        <v>339</v>
      </c>
      <c r="D19" s="210"/>
      <c r="E19" s="210"/>
      <c r="F19" s="98" t="s">
        <v>299</v>
      </c>
      <c r="G19" s="98" t="s">
        <v>300</v>
      </c>
      <c r="I19" s="74" t="s">
        <v>0</v>
      </c>
      <c r="J19" s="74" t="s">
        <v>297</v>
      </c>
      <c r="K19" s="74" t="s">
        <v>298</v>
      </c>
      <c r="L19" s="74"/>
      <c r="M19" s="74"/>
      <c r="N19" s="75" t="s">
        <v>299</v>
      </c>
      <c r="O19" s="74" t="s">
        <v>300</v>
      </c>
    </row>
    <row r="20" spans="1:15" ht="37.5" customHeight="1">
      <c r="A20" s="200" t="s">
        <v>340</v>
      </c>
      <c r="B20" s="213" t="s">
        <v>341</v>
      </c>
      <c r="C20" s="251" t="s">
        <v>342</v>
      </c>
      <c r="D20" s="252"/>
      <c r="E20" s="253"/>
      <c r="F20" s="12" t="s">
        <v>304</v>
      </c>
      <c r="G20" s="4" t="s">
        <v>343</v>
      </c>
      <c r="I20" s="98" t="s">
        <v>344</v>
      </c>
      <c r="J20" s="213" t="s">
        <v>345</v>
      </c>
      <c r="K20" s="3"/>
      <c r="L20" s="3"/>
      <c r="M20" s="3"/>
      <c r="N20" s="98" t="s">
        <v>308</v>
      </c>
      <c r="O20" s="3" t="s">
        <v>309</v>
      </c>
    </row>
    <row r="21" spans="1:15" ht="15" customHeight="1">
      <c r="A21" s="212"/>
      <c r="B21" s="214"/>
      <c r="C21" s="254" t="s">
        <v>346</v>
      </c>
      <c r="D21" s="255"/>
      <c r="E21" s="256"/>
      <c r="F21" s="12" t="s">
        <v>304</v>
      </c>
      <c r="G21" s="4" t="s">
        <v>343</v>
      </c>
      <c r="I21" s="3"/>
      <c r="J21" s="214"/>
      <c r="K21" s="3"/>
      <c r="L21" s="3"/>
      <c r="M21" s="3"/>
      <c r="N21" s="3"/>
      <c r="O21" s="3"/>
    </row>
    <row r="22" spans="1:15" ht="31.5" customHeight="1">
      <c r="A22" s="212"/>
      <c r="B22" s="214"/>
      <c r="C22" s="251" t="s">
        <v>347</v>
      </c>
      <c r="D22" s="252"/>
      <c r="E22" s="253"/>
      <c r="F22" s="12" t="s">
        <v>304</v>
      </c>
      <c r="G22" s="4" t="s">
        <v>343</v>
      </c>
      <c r="I22" s="3"/>
      <c r="J22" s="214"/>
      <c r="K22" s="3"/>
      <c r="L22" s="3"/>
      <c r="M22" s="3"/>
      <c r="N22" s="3"/>
      <c r="O22" s="3"/>
    </row>
    <row r="23" spans="1:15" ht="50.25" customHeight="1">
      <c r="A23" s="201"/>
      <c r="B23" s="215"/>
      <c r="C23" s="251" t="s">
        <v>348</v>
      </c>
      <c r="D23" s="252"/>
      <c r="E23" s="253"/>
      <c r="F23" s="12" t="s">
        <v>304</v>
      </c>
      <c r="G23" s="4" t="s">
        <v>343</v>
      </c>
      <c r="I23" s="3"/>
      <c r="J23" s="215"/>
      <c r="K23" s="3"/>
      <c r="L23" s="3"/>
      <c r="M23" s="3"/>
      <c r="N23" s="3"/>
      <c r="O23" s="3"/>
    </row>
    <row r="24" spans="1:15" ht="16.5" customHeight="1">
      <c r="A24" s="210" t="s">
        <v>349</v>
      </c>
      <c r="B24" s="209" t="s">
        <v>350</v>
      </c>
      <c r="C24" s="210" t="s">
        <v>351</v>
      </c>
      <c r="D24" s="210"/>
      <c r="E24" s="210"/>
      <c r="F24" s="12" t="s">
        <v>304</v>
      </c>
      <c r="G24" s="4" t="s">
        <v>32</v>
      </c>
      <c r="I24" s="12" t="s">
        <v>352</v>
      </c>
      <c r="J24" s="209" t="s">
        <v>353</v>
      </c>
      <c r="K24" s="13"/>
      <c r="L24" s="3"/>
      <c r="M24" s="3"/>
      <c r="N24" s="98" t="s">
        <v>308</v>
      </c>
      <c r="O24" s="3" t="s">
        <v>309</v>
      </c>
    </row>
    <row r="25" spans="1:15">
      <c r="A25" s="210"/>
      <c r="B25" s="209"/>
      <c r="C25" s="209" t="s">
        <v>354</v>
      </c>
      <c r="D25" s="209"/>
      <c r="E25" s="209"/>
      <c r="F25" s="12" t="s">
        <v>304</v>
      </c>
      <c r="G25" s="4" t="s">
        <v>32</v>
      </c>
      <c r="I25" s="12"/>
      <c r="J25" s="209"/>
      <c r="K25" s="13"/>
      <c r="L25" s="3"/>
      <c r="M25" s="3"/>
      <c r="N25" s="3"/>
      <c r="O25" s="3"/>
    </row>
    <row r="26" spans="1:15" ht="32.25" customHeight="1">
      <c r="A26" s="210"/>
      <c r="B26" s="209"/>
      <c r="C26" s="225" t="s">
        <v>355</v>
      </c>
      <c r="D26" s="225"/>
      <c r="E26" s="225"/>
      <c r="F26" s="102" t="s">
        <v>304</v>
      </c>
      <c r="G26" s="96">
        <v>2027</v>
      </c>
      <c r="I26" s="12"/>
      <c r="J26" s="209"/>
      <c r="K26" s="13"/>
      <c r="L26" s="3"/>
      <c r="M26" s="3"/>
      <c r="N26" s="3"/>
      <c r="O26" s="3"/>
    </row>
    <row r="27" spans="1:15">
      <c r="A27" s="210"/>
      <c r="B27" s="209"/>
      <c r="C27" s="210" t="s">
        <v>252</v>
      </c>
      <c r="D27" s="210"/>
      <c r="E27" s="210"/>
      <c r="F27" s="12" t="s">
        <v>304</v>
      </c>
      <c r="G27" s="4" t="s">
        <v>32</v>
      </c>
      <c r="I27" s="12"/>
      <c r="J27" s="209"/>
      <c r="K27" s="13"/>
      <c r="L27" s="3"/>
      <c r="M27" s="3"/>
      <c r="N27" s="3"/>
      <c r="O27" s="3"/>
    </row>
    <row r="28" spans="1:15" ht="32.25">
      <c r="A28" s="210"/>
      <c r="B28" s="209"/>
      <c r="C28" s="210" t="s">
        <v>356</v>
      </c>
      <c r="D28" s="210"/>
      <c r="E28" s="210"/>
      <c r="F28" s="12" t="s">
        <v>304</v>
      </c>
      <c r="G28" s="4" t="s">
        <v>32</v>
      </c>
      <c r="I28" s="12" t="s">
        <v>357</v>
      </c>
      <c r="J28" s="46" t="s">
        <v>358</v>
      </c>
      <c r="K28" s="13"/>
      <c r="L28" s="3"/>
      <c r="M28" s="3"/>
      <c r="N28" s="3"/>
      <c r="O28" s="3" t="s">
        <v>309</v>
      </c>
    </row>
    <row r="29" spans="1:15">
      <c r="A29" s="210"/>
      <c r="B29" s="209"/>
      <c r="C29" s="257" t="s">
        <v>359</v>
      </c>
      <c r="D29" s="257"/>
      <c r="E29" s="257"/>
      <c r="F29" s="102" t="s">
        <v>304</v>
      </c>
      <c r="G29" s="96">
        <v>2027</v>
      </c>
      <c r="I29" s="12"/>
      <c r="J29" s="46"/>
      <c r="K29" s="13"/>
      <c r="L29" s="3"/>
      <c r="M29" s="3"/>
      <c r="N29" s="3"/>
      <c r="O29" s="3"/>
    </row>
    <row r="30" spans="1:15" ht="51.75" customHeight="1">
      <c r="A30" s="210" t="s">
        <v>360</v>
      </c>
      <c r="B30" s="209" t="s">
        <v>361</v>
      </c>
      <c r="C30" s="210" t="s">
        <v>362</v>
      </c>
      <c r="D30" s="210"/>
      <c r="E30" s="210"/>
      <c r="F30" s="12" t="s">
        <v>304</v>
      </c>
      <c r="G30" s="4" t="s">
        <v>343</v>
      </c>
      <c r="I30" s="103" t="s">
        <v>363</v>
      </c>
      <c r="J30" s="101" t="s">
        <v>364</v>
      </c>
      <c r="K30" s="13"/>
      <c r="L30" s="3"/>
      <c r="M30" s="3"/>
      <c r="N30" s="98" t="s">
        <v>308</v>
      </c>
      <c r="O30" s="3" t="s">
        <v>309</v>
      </c>
    </row>
    <row r="31" spans="1:15" ht="19.5" customHeight="1">
      <c r="A31" s="210"/>
      <c r="B31" s="209"/>
      <c r="C31" s="225" t="s">
        <v>365</v>
      </c>
      <c r="D31" s="225"/>
      <c r="E31" s="225"/>
      <c r="F31" s="102" t="s">
        <v>304</v>
      </c>
      <c r="G31" s="96">
        <v>2027</v>
      </c>
      <c r="I31" s="3"/>
      <c r="J31" s="104"/>
      <c r="K31" s="3"/>
      <c r="L31" s="3"/>
      <c r="M31" s="3"/>
      <c r="N31" s="3"/>
      <c r="O31" s="3"/>
    </row>
    <row r="32" spans="1:15" ht="19.5" customHeight="1">
      <c r="A32" s="219" t="s">
        <v>366</v>
      </c>
      <c r="B32" s="220"/>
      <c r="C32" s="220"/>
      <c r="D32" s="220"/>
      <c r="E32" s="220"/>
      <c r="F32" s="245"/>
      <c r="G32" s="246"/>
      <c r="I32" s="211" t="s">
        <v>367</v>
      </c>
      <c r="J32" s="211"/>
      <c r="K32" s="211"/>
      <c r="L32" s="211"/>
      <c r="M32" s="211"/>
      <c r="N32" s="211"/>
      <c r="O32" s="211"/>
    </row>
    <row r="33" spans="1:15" ht="19.5" customHeight="1">
      <c r="A33" s="87" t="s">
        <v>0</v>
      </c>
      <c r="B33" s="83" t="s">
        <v>297</v>
      </c>
      <c r="C33" s="247" t="s">
        <v>339</v>
      </c>
      <c r="D33" s="247"/>
      <c r="E33" s="248"/>
      <c r="F33" s="88" t="s">
        <v>299</v>
      </c>
      <c r="G33" s="89" t="s">
        <v>300</v>
      </c>
      <c r="I33" s="74" t="s">
        <v>0</v>
      </c>
      <c r="J33" s="74" t="s">
        <v>297</v>
      </c>
      <c r="K33" s="74" t="s">
        <v>298</v>
      </c>
      <c r="L33" s="74"/>
      <c r="M33" s="74"/>
      <c r="N33" s="75" t="s">
        <v>299</v>
      </c>
      <c r="O33" s="74" t="s">
        <v>300</v>
      </c>
    </row>
    <row r="34" spans="1:15" ht="19.5" customHeight="1">
      <c r="A34" s="268" t="s">
        <v>368</v>
      </c>
      <c r="B34" s="225" t="s">
        <v>369</v>
      </c>
      <c r="C34" s="258" t="s">
        <v>370</v>
      </c>
      <c r="D34" s="258"/>
      <c r="E34" s="258"/>
      <c r="F34" s="96" t="s">
        <v>325</v>
      </c>
      <c r="G34" s="96">
        <v>2027</v>
      </c>
      <c r="I34" s="3" t="s">
        <v>371</v>
      </c>
      <c r="J34" s="3"/>
      <c r="K34" s="3"/>
      <c r="L34" s="3"/>
      <c r="M34" s="3"/>
      <c r="N34" s="3"/>
      <c r="O34" s="3"/>
    </row>
    <row r="35" spans="1:15" ht="19.5" customHeight="1">
      <c r="A35" s="269"/>
      <c r="B35" s="225"/>
      <c r="C35" s="259" t="s">
        <v>372</v>
      </c>
      <c r="D35" s="259"/>
      <c r="E35" s="259"/>
      <c r="F35" s="96" t="s">
        <v>325</v>
      </c>
      <c r="G35" s="96">
        <v>2027</v>
      </c>
      <c r="I35" s="3" t="s">
        <v>373</v>
      </c>
      <c r="J35" s="3"/>
      <c r="K35" s="3"/>
      <c r="L35" s="3"/>
      <c r="M35" s="3"/>
      <c r="N35" s="3"/>
      <c r="O35" s="3"/>
    </row>
    <row r="36" spans="1:15" ht="19.5" customHeight="1">
      <c r="A36" s="269"/>
      <c r="B36" s="225"/>
      <c r="C36" s="225" t="s">
        <v>374</v>
      </c>
      <c r="D36" s="225"/>
      <c r="E36" s="225"/>
      <c r="F36" s="96" t="s">
        <v>325</v>
      </c>
      <c r="G36" s="96">
        <v>2027</v>
      </c>
      <c r="I36" s="3" t="s">
        <v>375</v>
      </c>
      <c r="J36" s="3"/>
      <c r="K36" s="3"/>
      <c r="L36" s="3"/>
      <c r="M36" s="3"/>
      <c r="N36" s="3"/>
      <c r="O36" s="3"/>
    </row>
    <row r="37" spans="1:15" ht="19.5" customHeight="1">
      <c r="A37" s="270"/>
      <c r="B37" s="225"/>
      <c r="C37" s="225" t="s">
        <v>376</v>
      </c>
      <c r="D37" s="225"/>
      <c r="E37" s="225"/>
      <c r="F37" s="96" t="s">
        <v>325</v>
      </c>
      <c r="G37" s="96">
        <v>2027</v>
      </c>
      <c r="I37" s="3"/>
      <c r="J37" s="3"/>
      <c r="K37" s="3"/>
      <c r="L37" s="3"/>
      <c r="M37" s="3"/>
      <c r="N37" s="3"/>
      <c r="O37" s="3"/>
    </row>
    <row r="38" spans="1:15" ht="68.25" customHeight="1">
      <c r="A38" s="92" t="s">
        <v>377</v>
      </c>
      <c r="B38" s="93" t="s">
        <v>378</v>
      </c>
      <c r="C38" s="229"/>
      <c r="D38" s="229"/>
      <c r="E38" s="229"/>
      <c r="F38" s="97" t="s">
        <v>304</v>
      </c>
      <c r="G38" s="96">
        <v>2027</v>
      </c>
      <c r="I38" s="3"/>
      <c r="J38" s="3"/>
      <c r="K38" s="3"/>
      <c r="L38" s="3"/>
      <c r="M38" s="3"/>
      <c r="N38" s="3"/>
      <c r="O38" s="3"/>
    </row>
    <row r="39" spans="1:15" ht="68.25" customHeight="1">
      <c r="A39" s="92" t="s">
        <v>379</v>
      </c>
      <c r="B39" s="90" t="s">
        <v>380</v>
      </c>
      <c r="C39" s="225" t="s">
        <v>381</v>
      </c>
      <c r="D39" s="225"/>
      <c r="E39" s="230"/>
      <c r="F39" s="96" t="s">
        <v>325</v>
      </c>
      <c r="G39" s="91">
        <v>2027</v>
      </c>
      <c r="I39" s="3"/>
      <c r="J39" s="3"/>
      <c r="K39" s="3"/>
      <c r="L39" s="3"/>
      <c r="M39" s="3"/>
      <c r="N39" s="3"/>
      <c r="O39" s="3"/>
    </row>
    <row r="40" spans="1:15">
      <c r="A40" s="219" t="s">
        <v>382</v>
      </c>
      <c r="B40" s="263"/>
      <c r="C40" s="263"/>
      <c r="D40" s="263"/>
      <c r="E40" s="263"/>
      <c r="F40" s="263"/>
      <c r="G40" s="264"/>
      <c r="I40" s="211" t="s">
        <v>383</v>
      </c>
      <c r="J40" s="211"/>
      <c r="K40" s="211"/>
      <c r="L40" s="211"/>
      <c r="M40" s="211"/>
      <c r="N40" s="211"/>
      <c r="O40" s="211"/>
    </row>
    <row r="41" spans="1:15">
      <c r="A41" s="115" t="s">
        <v>0</v>
      </c>
      <c r="B41" s="116" t="s">
        <v>297</v>
      </c>
      <c r="C41" s="257" t="s">
        <v>339</v>
      </c>
      <c r="D41" s="257"/>
      <c r="E41" s="257"/>
      <c r="F41" s="105" t="s">
        <v>299</v>
      </c>
      <c r="G41" s="105" t="s">
        <v>300</v>
      </c>
      <c r="I41" s="74" t="s">
        <v>0</v>
      </c>
      <c r="J41" s="74" t="s">
        <v>297</v>
      </c>
      <c r="K41" s="74" t="s">
        <v>298</v>
      </c>
      <c r="L41" s="74"/>
      <c r="M41" s="74"/>
      <c r="N41" s="75" t="s">
        <v>299</v>
      </c>
      <c r="O41" s="74" t="s">
        <v>300</v>
      </c>
    </row>
    <row r="42" spans="1:15" ht="52.5" customHeight="1">
      <c r="A42" s="226" t="s">
        <v>384</v>
      </c>
      <c r="B42" s="225" t="s">
        <v>385</v>
      </c>
      <c r="C42" s="222" t="s">
        <v>386</v>
      </c>
      <c r="D42" s="217"/>
      <c r="E42" s="218"/>
      <c r="F42" s="115" t="s">
        <v>308</v>
      </c>
      <c r="G42" s="115" t="s">
        <v>387</v>
      </c>
      <c r="I42" s="98" t="s">
        <v>388</v>
      </c>
      <c r="J42" s="82" t="s">
        <v>389</v>
      </c>
      <c r="K42" s="3"/>
      <c r="L42" s="3"/>
      <c r="M42" s="3"/>
      <c r="N42" s="3" t="s">
        <v>308</v>
      </c>
      <c r="O42" s="3" t="s">
        <v>309</v>
      </c>
    </row>
    <row r="43" spans="1:15" ht="48">
      <c r="A43" s="227"/>
      <c r="B43" s="225"/>
      <c r="C43" s="218" t="s">
        <v>390</v>
      </c>
      <c r="D43" s="117" t="s">
        <v>391</v>
      </c>
      <c r="E43" s="118"/>
      <c r="F43" s="115" t="s">
        <v>308</v>
      </c>
      <c r="G43" s="115" t="s">
        <v>387</v>
      </c>
      <c r="I43" s="99" t="s">
        <v>392</v>
      </c>
      <c r="J43" s="37" t="s">
        <v>393</v>
      </c>
      <c r="K43" s="3"/>
      <c r="L43" s="3"/>
      <c r="M43" s="3"/>
      <c r="N43" s="3" t="s">
        <v>308</v>
      </c>
      <c r="O43" s="3" t="s">
        <v>309</v>
      </c>
    </row>
    <row r="44" spans="1:15">
      <c r="A44" s="227"/>
      <c r="B44" s="225"/>
      <c r="C44" s="218"/>
      <c r="D44" s="117" t="s">
        <v>394</v>
      </c>
      <c r="E44" s="118"/>
      <c r="F44" s="115" t="s">
        <v>308</v>
      </c>
      <c r="G44" s="115" t="s">
        <v>387</v>
      </c>
      <c r="I44" s="3"/>
      <c r="J44" s="3"/>
      <c r="K44" s="13"/>
      <c r="L44" s="3"/>
      <c r="M44" s="3"/>
      <c r="N44" s="3"/>
      <c r="O44" s="3"/>
    </row>
    <row r="45" spans="1:15">
      <c r="A45" s="227"/>
      <c r="B45" s="225"/>
      <c r="C45" s="218"/>
      <c r="D45" s="117" t="s">
        <v>395</v>
      </c>
      <c r="E45" s="118"/>
      <c r="F45" s="115" t="s">
        <v>308</v>
      </c>
      <c r="G45" s="115" t="s">
        <v>387</v>
      </c>
      <c r="I45" s="100"/>
      <c r="J45" s="104"/>
      <c r="K45" s="3"/>
      <c r="L45" s="3"/>
      <c r="M45" s="3"/>
      <c r="N45" s="3"/>
      <c r="O45" s="3"/>
    </row>
    <row r="46" spans="1:15">
      <c r="A46" s="227"/>
      <c r="B46" s="225"/>
      <c r="C46" s="218"/>
      <c r="D46" s="117" t="s">
        <v>396</v>
      </c>
      <c r="E46" s="118"/>
      <c r="F46" s="115" t="s">
        <v>308</v>
      </c>
      <c r="G46" s="115" t="s">
        <v>387</v>
      </c>
      <c r="I46" s="98"/>
      <c r="J46" s="3"/>
      <c r="K46" s="3"/>
      <c r="L46" s="3"/>
      <c r="M46" s="3"/>
      <c r="N46" s="3"/>
      <c r="O46" s="3"/>
    </row>
    <row r="47" spans="1:15">
      <c r="A47" s="227"/>
      <c r="B47" s="225"/>
      <c r="C47" s="218"/>
      <c r="D47" s="117" t="s">
        <v>397</v>
      </c>
      <c r="E47" s="118"/>
      <c r="F47" s="115" t="s">
        <v>308</v>
      </c>
      <c r="G47" s="115" t="s">
        <v>387</v>
      </c>
      <c r="I47" s="98"/>
      <c r="J47" s="3"/>
      <c r="K47" s="3"/>
      <c r="L47" s="3"/>
      <c r="M47" s="3"/>
      <c r="N47" s="3"/>
      <c r="O47" s="3"/>
    </row>
    <row r="48" spans="1:15">
      <c r="A48" s="227"/>
      <c r="B48" s="225"/>
      <c r="C48" s="216" t="s">
        <v>398</v>
      </c>
      <c r="D48" s="217"/>
      <c r="E48" s="218"/>
      <c r="F48" s="115" t="s">
        <v>308</v>
      </c>
      <c r="G48" s="115" t="s">
        <v>387</v>
      </c>
      <c r="I48" s="98"/>
      <c r="J48" s="3"/>
      <c r="K48" s="3"/>
      <c r="L48" s="3"/>
      <c r="M48" s="3"/>
      <c r="N48" s="3"/>
      <c r="O48" s="3"/>
    </row>
    <row r="49" spans="1:15" ht="37.5" customHeight="1">
      <c r="A49" s="228"/>
      <c r="B49" s="225"/>
      <c r="C49" s="223" t="s">
        <v>399</v>
      </c>
      <c r="D49" s="223"/>
      <c r="E49" s="224"/>
      <c r="F49" s="115" t="s">
        <v>325</v>
      </c>
      <c r="G49" s="115"/>
      <c r="I49" s="98"/>
      <c r="J49" s="3"/>
      <c r="K49" s="3"/>
      <c r="L49" s="3"/>
      <c r="M49" s="3"/>
      <c r="N49" s="3"/>
      <c r="O49" s="3"/>
    </row>
    <row r="50" spans="1:15" ht="36" customHeight="1">
      <c r="A50" s="105" t="s">
        <v>400</v>
      </c>
      <c r="B50" s="119" t="s">
        <v>401</v>
      </c>
      <c r="C50" s="216" t="s">
        <v>402</v>
      </c>
      <c r="D50" s="217"/>
      <c r="E50" s="218"/>
      <c r="F50" s="115" t="s">
        <v>308</v>
      </c>
      <c r="G50" s="115" t="s">
        <v>387</v>
      </c>
      <c r="I50" s="3"/>
      <c r="J50" s="3"/>
      <c r="K50" s="3"/>
      <c r="L50" s="3"/>
      <c r="M50" s="3"/>
      <c r="N50" s="3"/>
      <c r="O50" s="3"/>
    </row>
  </sheetData>
  <mergeCells count="69">
    <mergeCell ref="I3:M3"/>
    <mergeCell ref="A18:G18"/>
    <mergeCell ref="A40:G40"/>
    <mergeCell ref="A4:G4"/>
    <mergeCell ref="I4:O4"/>
    <mergeCell ref="B30:B31"/>
    <mergeCell ref="A30:A31"/>
    <mergeCell ref="C24:E24"/>
    <mergeCell ref="C25:E25"/>
    <mergeCell ref="C26:E26"/>
    <mergeCell ref="A3:E3"/>
    <mergeCell ref="B7:B9"/>
    <mergeCell ref="C22:E22"/>
    <mergeCell ref="B34:B37"/>
    <mergeCell ref="A34:A37"/>
    <mergeCell ref="I5:O5"/>
    <mergeCell ref="C41:E41"/>
    <mergeCell ref="C27:E27"/>
    <mergeCell ref="C28:E28"/>
    <mergeCell ref="C29:E29"/>
    <mergeCell ref="C31:E31"/>
    <mergeCell ref="C30:E30"/>
    <mergeCell ref="C34:E34"/>
    <mergeCell ref="C35:E35"/>
    <mergeCell ref="C36:E36"/>
    <mergeCell ref="C37:E37"/>
    <mergeCell ref="A1:G1"/>
    <mergeCell ref="B11:B15"/>
    <mergeCell ref="A11:A15"/>
    <mergeCell ref="A32:G32"/>
    <mergeCell ref="C33:E33"/>
    <mergeCell ref="A7:A9"/>
    <mergeCell ref="C23:E23"/>
    <mergeCell ref="B20:B23"/>
    <mergeCell ref="A20:A23"/>
    <mergeCell ref="B24:B29"/>
    <mergeCell ref="A24:A29"/>
    <mergeCell ref="C19:E19"/>
    <mergeCell ref="C20:E20"/>
    <mergeCell ref="C21:E21"/>
    <mergeCell ref="C8:E8"/>
    <mergeCell ref="C7:E7"/>
    <mergeCell ref="C50:E50"/>
    <mergeCell ref="C43:C47"/>
    <mergeCell ref="A5:G5"/>
    <mergeCell ref="C48:E48"/>
    <mergeCell ref="C42:E42"/>
    <mergeCell ref="C49:E49"/>
    <mergeCell ref="B42:B49"/>
    <mergeCell ref="A42:A49"/>
    <mergeCell ref="C38:E38"/>
    <mergeCell ref="C39:E39"/>
    <mergeCell ref="C6:E6"/>
    <mergeCell ref="C14:E14"/>
    <mergeCell ref="C13:E13"/>
    <mergeCell ref="C12:E12"/>
    <mergeCell ref="C11:E11"/>
    <mergeCell ref="C9:E9"/>
    <mergeCell ref="I32:O32"/>
    <mergeCell ref="I40:O40"/>
    <mergeCell ref="I14:I17"/>
    <mergeCell ref="J14:J17"/>
    <mergeCell ref="J24:J27"/>
    <mergeCell ref="J20:J23"/>
    <mergeCell ref="J7:J11"/>
    <mergeCell ref="I7:I11"/>
    <mergeCell ref="J12:J13"/>
    <mergeCell ref="I12:I13"/>
    <mergeCell ref="I18:O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95F7-25FA-480F-BEF0-D378737F1D03}">
  <dimension ref="A1:M29"/>
  <sheetViews>
    <sheetView topLeftCell="A3" workbookViewId="0">
      <selection activeCell="Q6" sqref="Q6"/>
    </sheetView>
  </sheetViews>
  <sheetFormatPr defaultRowHeight="17.25"/>
  <cols>
    <col min="1" max="1" width="13.375" style="106" customWidth="1"/>
    <col min="2" max="2" width="19.75" style="106" customWidth="1"/>
    <col min="3" max="3" width="11.25" style="106" customWidth="1"/>
    <col min="4" max="5" width="11.125" style="106" customWidth="1"/>
    <col min="6" max="6" width="16.75" style="106" customWidth="1"/>
    <col min="7" max="7" width="9" style="106"/>
    <col min="8" max="8" width="13.5" style="106" customWidth="1"/>
    <col min="9" max="9" width="20.375" style="106" customWidth="1"/>
    <col min="10" max="10" width="11.25" style="106" customWidth="1"/>
    <col min="11" max="11" width="14" style="106" customWidth="1"/>
    <col min="12" max="12" width="11.625" style="106" customWidth="1"/>
    <col min="13" max="13" width="16.375" style="106" customWidth="1"/>
    <col min="14" max="16384" width="9" style="106"/>
  </cols>
  <sheetData>
    <row r="1" spans="1:13" ht="33.75" customHeight="1">
      <c r="A1" s="158" t="s">
        <v>403</v>
      </c>
    </row>
    <row r="2" spans="1:13" ht="42" customHeight="1">
      <c r="A2" s="274" t="s">
        <v>404</v>
      </c>
      <c r="B2" s="274"/>
      <c r="C2" s="274"/>
      <c r="D2" s="274"/>
      <c r="E2" s="274"/>
      <c r="F2" s="274"/>
      <c r="H2" s="107" t="s">
        <v>405</v>
      </c>
      <c r="I2" s="107"/>
      <c r="J2" s="107"/>
      <c r="K2" s="107"/>
      <c r="L2" s="107"/>
      <c r="M2" s="107"/>
    </row>
    <row r="3" spans="1:13" ht="36.75" customHeight="1">
      <c r="A3" s="281" t="s">
        <v>406</v>
      </c>
      <c r="B3" s="282"/>
      <c r="C3" s="109" t="s">
        <v>407</v>
      </c>
      <c r="D3" s="109" t="s">
        <v>408</v>
      </c>
      <c r="E3" s="109" t="s">
        <v>409</v>
      </c>
      <c r="F3" s="109" t="s">
        <v>410</v>
      </c>
      <c r="H3" s="281" t="s">
        <v>406</v>
      </c>
      <c r="I3" s="282"/>
      <c r="J3" s="109" t="s">
        <v>411</v>
      </c>
      <c r="K3" s="109" t="s">
        <v>408</v>
      </c>
      <c r="L3" s="109" t="s">
        <v>409</v>
      </c>
      <c r="M3" s="109" t="s">
        <v>410</v>
      </c>
    </row>
    <row r="4" spans="1:13" ht="24">
      <c r="A4" s="278" t="s">
        <v>412</v>
      </c>
      <c r="B4" s="111" t="s">
        <v>413</v>
      </c>
      <c r="C4" s="127" t="s">
        <v>308</v>
      </c>
      <c r="D4" s="128" t="s">
        <v>325</v>
      </c>
      <c r="E4" s="128" t="s">
        <v>325</v>
      </c>
      <c r="F4" s="128" t="s">
        <v>325</v>
      </c>
      <c r="H4" s="278" t="s">
        <v>412</v>
      </c>
      <c r="I4" s="111" t="s">
        <v>413</v>
      </c>
      <c r="J4" s="127" t="s">
        <v>308</v>
      </c>
      <c r="K4" s="128" t="s">
        <v>325</v>
      </c>
      <c r="L4" s="128" t="s">
        <v>325</v>
      </c>
      <c r="M4" s="128" t="s">
        <v>325</v>
      </c>
    </row>
    <row r="5" spans="1:13" ht="24">
      <c r="A5" s="279"/>
      <c r="B5" s="111" t="s">
        <v>414</v>
      </c>
      <c r="C5" s="127" t="s">
        <v>308</v>
      </c>
      <c r="D5" s="128" t="s">
        <v>325</v>
      </c>
      <c r="E5" s="128" t="s">
        <v>325</v>
      </c>
      <c r="F5" s="128" t="s">
        <v>325</v>
      </c>
      <c r="H5" s="279"/>
      <c r="I5" s="111" t="s">
        <v>414</v>
      </c>
      <c r="J5" s="127" t="s">
        <v>308</v>
      </c>
      <c r="K5" s="128" t="s">
        <v>325</v>
      </c>
      <c r="L5" s="128" t="s">
        <v>325</v>
      </c>
      <c r="M5" s="128" t="s">
        <v>325</v>
      </c>
    </row>
    <row r="6" spans="1:13" ht="24">
      <c r="A6" s="279"/>
      <c r="B6" s="111" t="s">
        <v>415</v>
      </c>
      <c r="C6" s="127" t="s">
        <v>308</v>
      </c>
      <c r="D6" s="128" t="s">
        <v>325</v>
      </c>
      <c r="E6" s="128" t="s">
        <v>325</v>
      </c>
      <c r="F6" s="128" t="s">
        <v>325</v>
      </c>
      <c r="H6" s="279"/>
      <c r="I6" s="111" t="s">
        <v>415</v>
      </c>
      <c r="J6" s="127" t="s">
        <v>308</v>
      </c>
      <c r="K6" s="128" t="s">
        <v>325</v>
      </c>
      <c r="L6" s="128" t="s">
        <v>325</v>
      </c>
      <c r="M6" s="128" t="s">
        <v>325</v>
      </c>
    </row>
    <row r="7" spans="1:13" ht="24">
      <c r="A7" s="280"/>
      <c r="B7" s="111" t="s">
        <v>416</v>
      </c>
      <c r="C7" s="127" t="s">
        <v>308</v>
      </c>
      <c r="D7" s="128" t="s">
        <v>325</v>
      </c>
      <c r="E7" s="128" t="s">
        <v>325</v>
      </c>
      <c r="F7" s="128" t="s">
        <v>325</v>
      </c>
      <c r="H7" s="280"/>
      <c r="I7" s="111" t="s">
        <v>416</v>
      </c>
      <c r="J7" s="127" t="s">
        <v>308</v>
      </c>
      <c r="K7" s="128" t="s">
        <v>325</v>
      </c>
      <c r="L7" s="128" t="s">
        <v>325</v>
      </c>
      <c r="M7" s="128" t="s">
        <v>325</v>
      </c>
    </row>
    <row r="8" spans="1:13" ht="32.25">
      <c r="A8" s="275" t="s">
        <v>417</v>
      </c>
      <c r="B8" s="108" t="s">
        <v>418</v>
      </c>
      <c r="C8" s="129" t="s">
        <v>308</v>
      </c>
      <c r="D8" s="129" t="s">
        <v>308</v>
      </c>
      <c r="E8" s="129" t="s">
        <v>308</v>
      </c>
      <c r="F8" s="129" t="s">
        <v>308</v>
      </c>
      <c r="H8" s="275" t="s">
        <v>417</v>
      </c>
      <c r="I8" s="108" t="s">
        <v>418</v>
      </c>
      <c r="J8" s="129" t="s">
        <v>308</v>
      </c>
      <c r="K8" s="140" t="s">
        <v>419</v>
      </c>
      <c r="L8" s="129" t="s">
        <v>308</v>
      </c>
      <c r="M8" s="140" t="s">
        <v>419</v>
      </c>
    </row>
    <row r="9" spans="1:13" ht="33" customHeight="1">
      <c r="A9" s="276"/>
      <c r="B9" s="110" t="s">
        <v>420</v>
      </c>
      <c r="C9" s="129" t="s">
        <v>308</v>
      </c>
      <c r="D9" s="129" t="s">
        <v>308</v>
      </c>
      <c r="E9" s="129" t="s">
        <v>308</v>
      </c>
      <c r="F9" s="129" t="s">
        <v>308</v>
      </c>
      <c r="H9" s="276"/>
      <c r="I9" s="110" t="s">
        <v>420</v>
      </c>
      <c r="J9" s="129" t="s">
        <v>308</v>
      </c>
      <c r="K9" s="138" t="s">
        <v>325</v>
      </c>
      <c r="L9" s="129" t="s">
        <v>308</v>
      </c>
      <c r="M9" s="138" t="s">
        <v>325</v>
      </c>
    </row>
    <row r="10" spans="1:13" ht="33.75">
      <c r="A10" s="276"/>
      <c r="B10" s="120" t="s">
        <v>421</v>
      </c>
      <c r="C10" s="129" t="s">
        <v>308</v>
      </c>
      <c r="D10" s="129" t="s">
        <v>325</v>
      </c>
      <c r="E10" s="129" t="s">
        <v>325</v>
      </c>
      <c r="F10" s="129" t="s">
        <v>325</v>
      </c>
      <c r="H10" s="276"/>
      <c r="I10" s="121" t="s">
        <v>421</v>
      </c>
      <c r="J10" s="129" t="s">
        <v>308</v>
      </c>
      <c r="K10" s="130" t="s">
        <v>325</v>
      </c>
      <c r="L10" s="129" t="s">
        <v>325</v>
      </c>
      <c r="M10" s="130" t="s">
        <v>325</v>
      </c>
    </row>
    <row r="11" spans="1:13" ht="24">
      <c r="A11" s="276"/>
      <c r="B11" s="108" t="s">
        <v>422</v>
      </c>
      <c r="C11" s="129" t="s">
        <v>308</v>
      </c>
      <c r="D11" s="129" t="s">
        <v>308</v>
      </c>
      <c r="E11" s="129" t="s">
        <v>308</v>
      </c>
      <c r="F11" s="129" t="s">
        <v>308</v>
      </c>
      <c r="H11" s="276"/>
      <c r="I11" s="108" t="s">
        <v>422</v>
      </c>
      <c r="J11" s="129" t="s">
        <v>308</v>
      </c>
      <c r="K11" s="138" t="s">
        <v>325</v>
      </c>
      <c r="L11" s="129" t="s">
        <v>308</v>
      </c>
      <c r="M11" s="138" t="s">
        <v>325</v>
      </c>
    </row>
    <row r="12" spans="1:13" ht="34.5">
      <c r="A12" s="276"/>
      <c r="B12" s="110" t="s">
        <v>423</v>
      </c>
      <c r="C12" s="129" t="s">
        <v>308</v>
      </c>
      <c r="D12" s="130" t="s">
        <v>325</v>
      </c>
      <c r="E12" s="130" t="s">
        <v>325</v>
      </c>
      <c r="F12" s="130" t="s">
        <v>325</v>
      </c>
      <c r="H12" s="276"/>
      <c r="I12" s="110" t="s">
        <v>423</v>
      </c>
      <c r="J12" s="129" t="s">
        <v>308</v>
      </c>
      <c r="K12" s="130" t="s">
        <v>325</v>
      </c>
      <c r="L12" s="130" t="s">
        <v>325</v>
      </c>
      <c r="M12" s="130" t="s">
        <v>325</v>
      </c>
    </row>
    <row r="13" spans="1:13" ht="34.5">
      <c r="A13" s="276"/>
      <c r="B13" s="110" t="s">
        <v>424</v>
      </c>
      <c r="C13" s="129" t="s">
        <v>308</v>
      </c>
      <c r="D13" s="129" t="s">
        <v>308</v>
      </c>
      <c r="E13" s="129" t="s">
        <v>308</v>
      </c>
      <c r="F13" s="129" t="s">
        <v>308</v>
      </c>
      <c r="H13" s="276"/>
      <c r="I13" s="110" t="s">
        <v>424</v>
      </c>
      <c r="J13" s="129" t="s">
        <v>308</v>
      </c>
      <c r="K13" s="138" t="s">
        <v>325</v>
      </c>
      <c r="L13" s="129" t="s">
        <v>308</v>
      </c>
      <c r="M13" s="138" t="s">
        <v>325</v>
      </c>
    </row>
    <row r="14" spans="1:13" ht="34.5">
      <c r="A14" s="276"/>
      <c r="B14" s="110" t="s">
        <v>425</v>
      </c>
      <c r="C14" s="129" t="s">
        <v>308</v>
      </c>
      <c r="D14" s="130" t="s">
        <v>325</v>
      </c>
      <c r="E14" s="130" t="s">
        <v>325</v>
      </c>
      <c r="F14" s="130" t="s">
        <v>325</v>
      </c>
      <c r="H14" s="276"/>
      <c r="I14" s="110" t="s">
        <v>425</v>
      </c>
      <c r="J14" s="129" t="s">
        <v>308</v>
      </c>
      <c r="K14" s="130" t="s">
        <v>325</v>
      </c>
      <c r="L14" s="130" t="s">
        <v>325</v>
      </c>
      <c r="M14" s="130" t="s">
        <v>325</v>
      </c>
    </row>
    <row r="15" spans="1:13" ht="34.5">
      <c r="A15" s="276"/>
      <c r="B15" s="110" t="s">
        <v>426</v>
      </c>
      <c r="C15" s="129" t="s">
        <v>308</v>
      </c>
      <c r="D15" s="129" t="s">
        <v>308</v>
      </c>
      <c r="E15" s="129" t="s">
        <v>308</v>
      </c>
      <c r="F15" s="129" t="s">
        <v>308</v>
      </c>
      <c r="H15" s="276"/>
      <c r="I15" s="110" t="s">
        <v>426</v>
      </c>
      <c r="J15" s="129" t="s">
        <v>308</v>
      </c>
      <c r="K15" s="138" t="s">
        <v>325</v>
      </c>
      <c r="L15" s="129" t="s">
        <v>308</v>
      </c>
      <c r="M15" s="138" t="s">
        <v>325</v>
      </c>
    </row>
    <row r="16" spans="1:13" ht="34.5">
      <c r="A16" s="276"/>
      <c r="B16" s="110" t="s">
        <v>427</v>
      </c>
      <c r="C16" s="129" t="s">
        <v>308</v>
      </c>
      <c r="D16" s="130" t="s">
        <v>325</v>
      </c>
      <c r="E16" s="130" t="s">
        <v>325</v>
      </c>
      <c r="F16" s="130" t="s">
        <v>325</v>
      </c>
      <c r="H16" s="276"/>
      <c r="I16" s="110" t="s">
        <v>427</v>
      </c>
      <c r="J16" s="129" t="s">
        <v>308</v>
      </c>
      <c r="K16" s="130" t="s">
        <v>325</v>
      </c>
      <c r="L16" s="130" t="s">
        <v>325</v>
      </c>
      <c r="M16" s="130" t="s">
        <v>325</v>
      </c>
    </row>
    <row r="17" spans="1:13" ht="35.25" customHeight="1">
      <c r="A17" s="276"/>
      <c r="B17" s="126" t="s">
        <v>428</v>
      </c>
      <c r="C17" s="129" t="s">
        <v>308</v>
      </c>
      <c r="D17" s="129" t="s">
        <v>308</v>
      </c>
      <c r="E17" s="129" t="s">
        <v>308</v>
      </c>
      <c r="F17" s="129" t="s">
        <v>308</v>
      </c>
      <c r="H17" s="276"/>
      <c r="I17" s="126" t="s">
        <v>428</v>
      </c>
      <c r="J17" s="129" t="s">
        <v>308</v>
      </c>
      <c r="K17" s="138" t="s">
        <v>325</v>
      </c>
      <c r="L17" s="129" t="s">
        <v>308</v>
      </c>
      <c r="M17" s="138" t="s">
        <v>325</v>
      </c>
    </row>
    <row r="18" spans="1:13" ht="71.25" customHeight="1">
      <c r="A18" s="276"/>
      <c r="B18" s="126" t="s">
        <v>429</v>
      </c>
      <c r="C18" s="129" t="s">
        <v>308</v>
      </c>
      <c r="D18" s="129" t="s">
        <v>308</v>
      </c>
      <c r="E18" s="129" t="s">
        <v>308</v>
      </c>
      <c r="F18" s="129" t="s">
        <v>308</v>
      </c>
      <c r="H18" s="276"/>
      <c r="I18" s="126" t="s">
        <v>429</v>
      </c>
      <c r="J18" s="129" t="s">
        <v>308</v>
      </c>
      <c r="K18" s="138" t="s">
        <v>325</v>
      </c>
      <c r="L18" s="129" t="s">
        <v>308</v>
      </c>
      <c r="M18" s="138" t="s">
        <v>325</v>
      </c>
    </row>
    <row r="19" spans="1:13" ht="24">
      <c r="A19" s="276"/>
      <c r="B19" s="108" t="s">
        <v>430</v>
      </c>
      <c r="C19" s="129" t="s">
        <v>308</v>
      </c>
      <c r="D19" s="129" t="s">
        <v>308</v>
      </c>
      <c r="E19" s="129" t="s">
        <v>308</v>
      </c>
      <c r="F19" s="129" t="s">
        <v>308</v>
      </c>
      <c r="H19" s="276"/>
      <c r="I19" s="108" t="s">
        <v>430</v>
      </c>
      <c r="J19" s="129" t="s">
        <v>308</v>
      </c>
      <c r="K19" s="138" t="s">
        <v>325</v>
      </c>
      <c r="L19" s="129" t="s">
        <v>308</v>
      </c>
      <c r="M19" s="138" t="s">
        <v>325</v>
      </c>
    </row>
    <row r="20" spans="1:13" ht="24">
      <c r="A20" s="277"/>
      <c r="B20" s="108" t="s">
        <v>431</v>
      </c>
      <c r="C20" s="129" t="s">
        <v>308</v>
      </c>
      <c r="D20" s="129" t="s">
        <v>308</v>
      </c>
      <c r="E20" s="129" t="s">
        <v>308</v>
      </c>
      <c r="F20" s="129" t="s">
        <v>308</v>
      </c>
      <c r="H20" s="277"/>
      <c r="I20" s="108" t="s">
        <v>431</v>
      </c>
      <c r="J20" s="129" t="s">
        <v>308</v>
      </c>
      <c r="K20" s="138" t="s">
        <v>325</v>
      </c>
      <c r="L20" s="129" t="s">
        <v>308</v>
      </c>
      <c r="M20" s="138" t="s">
        <v>325</v>
      </c>
    </row>
    <row r="21" spans="1:13" ht="24">
      <c r="A21" s="278" t="s">
        <v>432</v>
      </c>
      <c r="B21" s="112" t="s">
        <v>351</v>
      </c>
      <c r="C21" s="127" t="s">
        <v>308</v>
      </c>
      <c r="D21" s="127" t="s">
        <v>308</v>
      </c>
      <c r="E21" s="127" t="s">
        <v>308</v>
      </c>
      <c r="F21" s="127" t="s">
        <v>308</v>
      </c>
      <c r="H21" s="278" t="s">
        <v>432</v>
      </c>
      <c r="I21" s="112" t="s">
        <v>351</v>
      </c>
      <c r="J21" s="127" t="s">
        <v>308</v>
      </c>
      <c r="K21" s="139" t="s">
        <v>325</v>
      </c>
      <c r="L21" s="127" t="s">
        <v>308</v>
      </c>
      <c r="M21" s="139" t="s">
        <v>325</v>
      </c>
    </row>
    <row r="22" spans="1:13" ht="24">
      <c r="A22" s="279"/>
      <c r="B22" s="113" t="s">
        <v>354</v>
      </c>
      <c r="C22" s="127" t="s">
        <v>308</v>
      </c>
      <c r="D22" s="127" t="s">
        <v>308</v>
      </c>
      <c r="E22" s="127" t="s">
        <v>308</v>
      </c>
      <c r="F22" s="127" t="s">
        <v>308</v>
      </c>
      <c r="H22" s="279"/>
      <c r="I22" s="113" t="s">
        <v>354</v>
      </c>
      <c r="J22" s="127" t="s">
        <v>308</v>
      </c>
      <c r="K22" s="139" t="s">
        <v>325</v>
      </c>
      <c r="L22" s="127" t="s">
        <v>308</v>
      </c>
      <c r="M22" s="139" t="s">
        <v>325</v>
      </c>
    </row>
    <row r="23" spans="1:13" ht="24">
      <c r="A23" s="279"/>
      <c r="B23" s="112" t="s">
        <v>433</v>
      </c>
      <c r="C23" s="127" t="s">
        <v>308</v>
      </c>
      <c r="D23" s="127" t="s">
        <v>308</v>
      </c>
      <c r="E23" s="127" t="s">
        <v>308</v>
      </c>
      <c r="F23" s="127" t="s">
        <v>308</v>
      </c>
      <c r="H23" s="279"/>
      <c r="I23" s="112" t="s">
        <v>433</v>
      </c>
      <c r="J23" s="127" t="s">
        <v>308</v>
      </c>
      <c r="K23" s="139" t="s">
        <v>325</v>
      </c>
      <c r="L23" s="127" t="s">
        <v>308</v>
      </c>
      <c r="M23" s="139" t="s">
        <v>325</v>
      </c>
    </row>
    <row r="24" spans="1:13" ht="24">
      <c r="A24" s="279"/>
      <c r="B24" s="112" t="s">
        <v>252</v>
      </c>
      <c r="C24" s="127" t="s">
        <v>308</v>
      </c>
      <c r="D24" s="127" t="s">
        <v>308</v>
      </c>
      <c r="E24" s="127" t="s">
        <v>308</v>
      </c>
      <c r="F24" s="127" t="s">
        <v>308</v>
      </c>
      <c r="H24" s="279"/>
      <c r="I24" s="112" t="s">
        <v>252</v>
      </c>
      <c r="J24" s="127" t="s">
        <v>308</v>
      </c>
      <c r="K24" s="139" t="s">
        <v>325</v>
      </c>
      <c r="L24" s="127" t="s">
        <v>308</v>
      </c>
      <c r="M24" s="139" t="s">
        <v>325</v>
      </c>
    </row>
    <row r="25" spans="1:13" ht="24">
      <c r="A25" s="279"/>
      <c r="B25" s="112" t="s">
        <v>356</v>
      </c>
      <c r="C25" s="127" t="s">
        <v>308</v>
      </c>
      <c r="D25" s="127" t="s">
        <v>308</v>
      </c>
      <c r="E25" s="127" t="s">
        <v>308</v>
      </c>
      <c r="F25" s="127" t="s">
        <v>308</v>
      </c>
      <c r="H25" s="279"/>
      <c r="I25" s="112" t="s">
        <v>356</v>
      </c>
      <c r="J25" s="127" t="s">
        <v>308</v>
      </c>
      <c r="K25" s="139" t="s">
        <v>325</v>
      </c>
      <c r="L25" s="127" t="s">
        <v>308</v>
      </c>
      <c r="M25" s="139" t="s">
        <v>325</v>
      </c>
    </row>
    <row r="26" spans="1:13" ht="24">
      <c r="A26" s="280"/>
      <c r="B26" s="114" t="s">
        <v>434</v>
      </c>
      <c r="C26" s="127" t="s">
        <v>308</v>
      </c>
      <c r="D26" s="127" t="s">
        <v>308</v>
      </c>
      <c r="E26" s="127" t="s">
        <v>308</v>
      </c>
      <c r="F26" s="127" t="s">
        <v>308</v>
      </c>
      <c r="H26" s="280"/>
      <c r="I26" s="114" t="s">
        <v>434</v>
      </c>
      <c r="J26" s="127" t="s">
        <v>308</v>
      </c>
      <c r="K26" s="139" t="s">
        <v>325</v>
      </c>
      <c r="L26" s="127" t="s">
        <v>308</v>
      </c>
      <c r="M26" s="139" t="s">
        <v>325</v>
      </c>
    </row>
    <row r="27" spans="1:13" ht="24">
      <c r="A27" s="275" t="s">
        <v>435</v>
      </c>
      <c r="B27" s="108" t="s">
        <v>436</v>
      </c>
      <c r="C27" s="129" t="s">
        <v>308</v>
      </c>
      <c r="D27" s="130" t="s">
        <v>325</v>
      </c>
      <c r="E27" s="130" t="s">
        <v>325</v>
      </c>
      <c r="F27" s="130" t="s">
        <v>325</v>
      </c>
      <c r="H27" s="275" t="s">
        <v>435</v>
      </c>
      <c r="I27" s="108" t="s">
        <v>436</v>
      </c>
      <c r="J27" s="129" t="s">
        <v>308</v>
      </c>
      <c r="K27" s="130" t="s">
        <v>325</v>
      </c>
      <c r="L27" s="130" t="s">
        <v>325</v>
      </c>
      <c r="M27" s="130" t="s">
        <v>325</v>
      </c>
    </row>
    <row r="28" spans="1:13" ht="51.75">
      <c r="A28" s="276"/>
      <c r="B28" s="110" t="s">
        <v>437</v>
      </c>
      <c r="C28" s="129" t="s">
        <v>308</v>
      </c>
      <c r="D28" s="129" t="s">
        <v>308</v>
      </c>
      <c r="E28" s="129" t="s">
        <v>308</v>
      </c>
      <c r="F28" s="129" t="s">
        <v>308</v>
      </c>
      <c r="H28" s="276"/>
      <c r="I28" s="110" t="s">
        <v>437</v>
      </c>
      <c r="J28" s="129" t="s">
        <v>308</v>
      </c>
      <c r="K28" s="138" t="s">
        <v>325</v>
      </c>
      <c r="L28" s="129" t="s">
        <v>308</v>
      </c>
      <c r="M28" s="138" t="s">
        <v>325</v>
      </c>
    </row>
    <row r="29" spans="1:13" ht="24">
      <c r="A29" s="277"/>
      <c r="B29" s="108" t="s">
        <v>438</v>
      </c>
      <c r="C29" s="129" t="s">
        <v>308</v>
      </c>
      <c r="D29" s="129" t="s">
        <v>308</v>
      </c>
      <c r="E29" s="129" t="s">
        <v>308</v>
      </c>
      <c r="F29" s="129" t="s">
        <v>308</v>
      </c>
      <c r="H29" s="277"/>
      <c r="I29" s="108" t="s">
        <v>438</v>
      </c>
      <c r="J29" s="129" t="s">
        <v>308</v>
      </c>
      <c r="K29" s="138" t="s">
        <v>325</v>
      </c>
      <c r="L29" s="129" t="s">
        <v>308</v>
      </c>
      <c r="M29" s="138" t="s">
        <v>325</v>
      </c>
    </row>
  </sheetData>
  <mergeCells count="11">
    <mergeCell ref="A2:F2"/>
    <mergeCell ref="A27:A29"/>
    <mergeCell ref="H4:H7"/>
    <mergeCell ref="H8:H20"/>
    <mergeCell ref="H21:H26"/>
    <mergeCell ref="H27:H29"/>
    <mergeCell ref="H3:I3"/>
    <mergeCell ref="A3:B3"/>
    <mergeCell ref="A4:A7"/>
    <mergeCell ref="A8:A20"/>
    <mergeCell ref="A21:A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41AC-4CD6-4137-B0DF-22A6149CA31E}">
  <dimension ref="A1:H18"/>
  <sheetViews>
    <sheetView workbookViewId="0">
      <selection activeCell="B18" sqref="B18"/>
    </sheetView>
  </sheetViews>
  <sheetFormatPr defaultRowHeight="15.75"/>
  <cols>
    <col min="1" max="1" width="19.75" style="145" customWidth="1"/>
    <col min="2" max="2" width="34" style="145" customWidth="1"/>
    <col min="3" max="3" width="40.25" style="145" customWidth="1"/>
    <col min="4" max="4" width="12" style="145" customWidth="1"/>
    <col min="5" max="5" width="12.5" style="145" customWidth="1"/>
    <col min="6" max="6" width="13.125" style="145" customWidth="1"/>
    <col min="7" max="7" width="28" style="145" customWidth="1"/>
    <col min="8" max="8" width="14.25" style="145" customWidth="1"/>
    <col min="9" max="16384" width="9" style="145"/>
  </cols>
  <sheetData>
    <row r="1" spans="1:8">
      <c r="A1" s="145" t="s">
        <v>439</v>
      </c>
      <c r="B1" s="155" t="s">
        <v>440</v>
      </c>
    </row>
    <row r="2" spans="1:8">
      <c r="A2" s="146" t="s">
        <v>441</v>
      </c>
      <c r="B2" s="146" t="s">
        <v>442</v>
      </c>
      <c r="C2" s="146" t="s">
        <v>443</v>
      </c>
      <c r="D2" s="146" t="s">
        <v>444</v>
      </c>
      <c r="E2" s="146" t="s">
        <v>445</v>
      </c>
      <c r="F2" s="146" t="s">
        <v>446</v>
      </c>
      <c r="G2" s="146" t="s">
        <v>116</v>
      </c>
      <c r="H2" s="145" t="s">
        <v>122</v>
      </c>
    </row>
    <row r="3" spans="1:8" ht="32.25">
      <c r="A3" s="150" t="s">
        <v>447</v>
      </c>
      <c r="B3" s="145" t="s">
        <v>448</v>
      </c>
      <c r="C3" s="145" t="s">
        <v>449</v>
      </c>
      <c r="D3" s="145" t="s">
        <v>450</v>
      </c>
      <c r="E3" s="145" t="s">
        <v>451</v>
      </c>
      <c r="F3" s="145" t="s">
        <v>452</v>
      </c>
      <c r="G3" s="151" t="s">
        <v>453</v>
      </c>
    </row>
    <row r="4" spans="1:8" ht="32.25">
      <c r="A4" s="152" t="s">
        <v>454</v>
      </c>
      <c r="B4" s="147" t="s">
        <v>455</v>
      </c>
      <c r="C4" s="147" t="s">
        <v>456</v>
      </c>
      <c r="D4" s="148">
        <v>1</v>
      </c>
      <c r="E4" s="148">
        <v>1</v>
      </c>
      <c r="F4" s="148">
        <v>0</v>
      </c>
      <c r="G4" s="147"/>
      <c r="H4" s="145" t="s">
        <v>457</v>
      </c>
    </row>
    <row r="5" spans="1:8" ht="32.25">
      <c r="B5" s="145" t="s">
        <v>458</v>
      </c>
      <c r="C5" s="145" t="s">
        <v>459</v>
      </c>
      <c r="D5" s="145" t="s">
        <v>460</v>
      </c>
      <c r="E5" s="145" t="s">
        <v>461</v>
      </c>
      <c r="F5" s="145" t="s">
        <v>462</v>
      </c>
    </row>
    <row r="6" spans="1:8" ht="32.25">
      <c r="A6" s="147" t="s">
        <v>454</v>
      </c>
      <c r="B6" s="147" t="s">
        <v>463</v>
      </c>
      <c r="C6" s="147" t="s">
        <v>464</v>
      </c>
      <c r="D6" s="147" t="s">
        <v>465</v>
      </c>
      <c r="E6" s="147" t="s">
        <v>466</v>
      </c>
      <c r="F6" s="147" t="s">
        <v>467</v>
      </c>
      <c r="G6" s="147"/>
      <c r="H6" s="145" t="s">
        <v>457</v>
      </c>
    </row>
    <row r="7" spans="1:8" ht="32.25">
      <c r="B7" s="145" t="s">
        <v>468</v>
      </c>
      <c r="C7" s="145" t="s">
        <v>469</v>
      </c>
      <c r="D7" s="145" t="s">
        <v>470</v>
      </c>
      <c r="E7" s="145" t="s">
        <v>460</v>
      </c>
      <c r="F7" s="145" t="s">
        <v>462</v>
      </c>
      <c r="H7" s="145" t="s">
        <v>457</v>
      </c>
    </row>
    <row r="8" spans="1:8" ht="31.5">
      <c r="A8" s="147"/>
      <c r="B8" s="147" t="s">
        <v>471</v>
      </c>
      <c r="C8" s="147" t="s">
        <v>472</v>
      </c>
      <c r="D8" s="147" t="s">
        <v>460</v>
      </c>
      <c r="E8" s="147" t="s">
        <v>461</v>
      </c>
      <c r="F8" s="147" t="s">
        <v>462</v>
      </c>
      <c r="G8" s="147"/>
    </row>
    <row r="9" spans="1:8" ht="32.25">
      <c r="A9" s="153" t="s">
        <v>454</v>
      </c>
      <c r="B9" s="145" t="s">
        <v>473</v>
      </c>
      <c r="C9" s="145" t="s">
        <v>474</v>
      </c>
      <c r="D9" s="145" t="s">
        <v>460</v>
      </c>
      <c r="E9" s="145" t="s">
        <v>475</v>
      </c>
      <c r="F9" s="145" t="s">
        <v>467</v>
      </c>
      <c r="H9" s="145" t="s">
        <v>457</v>
      </c>
    </row>
    <row r="10" spans="1:8" ht="33">
      <c r="A10" s="147"/>
      <c r="B10" s="147" t="s">
        <v>476</v>
      </c>
      <c r="C10" s="147" t="s">
        <v>477</v>
      </c>
      <c r="D10" s="147" t="s">
        <v>478</v>
      </c>
      <c r="E10" s="147"/>
      <c r="F10" s="147"/>
      <c r="G10" s="147"/>
    </row>
    <row r="11" spans="1:8" ht="31.5">
      <c r="B11" s="145" t="s">
        <v>479</v>
      </c>
      <c r="C11" s="145" t="s">
        <v>480</v>
      </c>
      <c r="D11" s="145" t="s">
        <v>481</v>
      </c>
      <c r="E11" s="145" t="s">
        <v>482</v>
      </c>
      <c r="F11" s="145" t="s">
        <v>462</v>
      </c>
    </row>
    <row r="12" spans="1:8" ht="32.25">
      <c r="A12" s="147" t="s">
        <v>483</v>
      </c>
      <c r="B12" s="147" t="s">
        <v>484</v>
      </c>
      <c r="C12" s="147" t="s">
        <v>485</v>
      </c>
      <c r="D12" s="147" t="s">
        <v>486</v>
      </c>
      <c r="E12" s="147" t="s">
        <v>487</v>
      </c>
      <c r="F12" s="147" t="s">
        <v>462</v>
      </c>
      <c r="G12" s="154" t="s">
        <v>488</v>
      </c>
    </row>
    <row r="13" spans="1:8" ht="31.5">
      <c r="A13" s="150" t="s">
        <v>447</v>
      </c>
      <c r="B13" s="145" t="s">
        <v>489</v>
      </c>
      <c r="C13" s="145" t="s">
        <v>490</v>
      </c>
      <c r="D13" s="145" t="s">
        <v>460</v>
      </c>
      <c r="E13" s="145" t="s">
        <v>481</v>
      </c>
      <c r="F13" s="145" t="s">
        <v>467</v>
      </c>
      <c r="G13" s="151" t="s">
        <v>488</v>
      </c>
    </row>
    <row r="14" spans="1:8" ht="32.25">
      <c r="A14" s="152" t="s">
        <v>454</v>
      </c>
      <c r="B14" s="147" t="s">
        <v>491</v>
      </c>
      <c r="C14" s="147" t="s">
        <v>492</v>
      </c>
      <c r="D14" s="147" t="s">
        <v>450</v>
      </c>
      <c r="E14" s="147" t="s">
        <v>451</v>
      </c>
      <c r="F14" s="147" t="s">
        <v>452</v>
      </c>
      <c r="G14" s="147"/>
    </row>
    <row r="15" spans="1:8" ht="32.25">
      <c r="B15" s="145" t="s">
        <v>493</v>
      </c>
      <c r="C15" s="145" t="s">
        <v>494</v>
      </c>
      <c r="D15" s="145" t="s">
        <v>460</v>
      </c>
      <c r="E15" s="145" t="s">
        <v>486</v>
      </c>
      <c r="F15" s="145" t="s">
        <v>462</v>
      </c>
    </row>
    <row r="16" spans="1:8" ht="32.25">
      <c r="A16" s="147"/>
      <c r="B16" s="147" t="s">
        <v>495</v>
      </c>
      <c r="C16" s="147" t="s">
        <v>496</v>
      </c>
      <c r="D16" s="147" t="s">
        <v>497</v>
      </c>
      <c r="E16" s="147"/>
      <c r="F16" s="147"/>
      <c r="G16" s="147"/>
    </row>
    <row r="17" spans="1:7" ht="31.5">
      <c r="B17" s="145" t="s">
        <v>498</v>
      </c>
      <c r="C17" s="145" t="s">
        <v>499</v>
      </c>
      <c r="D17" s="145" t="s">
        <v>462</v>
      </c>
      <c r="E17" s="145" t="s">
        <v>500</v>
      </c>
      <c r="F17" s="145" t="s">
        <v>462</v>
      </c>
    </row>
    <row r="18" spans="1:7" ht="31.5">
      <c r="A18" s="147"/>
      <c r="B18" s="147" t="s">
        <v>501</v>
      </c>
      <c r="C18" s="147" t="s">
        <v>502</v>
      </c>
      <c r="D18" s="147" t="s">
        <v>460</v>
      </c>
      <c r="E18" s="147" t="s">
        <v>481</v>
      </c>
      <c r="F18" s="147" t="s">
        <v>467</v>
      </c>
      <c r="G18" s="147" t="s">
        <v>61</v>
      </c>
    </row>
  </sheetData>
  <hyperlinks>
    <hyperlink ref="B1" r:id="rId1" xr:uid="{15C2C982-B722-4818-B7AB-1943B81E12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E52C-FB21-4DEA-B870-A71130C17838}">
  <dimension ref="A1:E10"/>
  <sheetViews>
    <sheetView workbookViewId="0">
      <selection activeCell="B6" sqref="B6:D6"/>
    </sheetView>
  </sheetViews>
  <sheetFormatPr defaultRowHeight="15.75"/>
  <cols>
    <col min="1" max="1" width="27.5" style="1" customWidth="1"/>
    <col min="2" max="2" width="17" style="1" customWidth="1"/>
    <col min="3" max="3" width="16.375" style="1" customWidth="1"/>
    <col min="4" max="4" width="16.5" style="1" customWidth="1"/>
    <col min="5" max="5" width="33" style="1" customWidth="1"/>
    <col min="6" max="16384" width="9" style="1"/>
  </cols>
  <sheetData>
    <row r="1" spans="1:5">
      <c r="A1" s="1" t="s">
        <v>439</v>
      </c>
      <c r="B1" s="156" t="s">
        <v>503</v>
      </c>
    </row>
    <row r="2" spans="1:5">
      <c r="A2" s="157" t="s">
        <v>0</v>
      </c>
      <c r="B2" s="157" t="s">
        <v>446</v>
      </c>
      <c r="C2" s="157" t="s">
        <v>445</v>
      </c>
      <c r="D2" s="157" t="s">
        <v>444</v>
      </c>
      <c r="E2" s="157" t="s">
        <v>116</v>
      </c>
    </row>
    <row r="3" spans="1:5">
      <c r="A3" s="1" t="s">
        <v>504</v>
      </c>
      <c r="B3" s="1" t="s">
        <v>505</v>
      </c>
      <c r="C3" s="1" t="s">
        <v>505</v>
      </c>
      <c r="D3" s="1" t="s">
        <v>506</v>
      </c>
    </row>
    <row r="4" spans="1:5">
      <c r="A4" s="149" t="s">
        <v>507</v>
      </c>
      <c r="B4" s="149" t="s">
        <v>508</v>
      </c>
      <c r="C4" s="149" t="s">
        <v>509</v>
      </c>
      <c r="D4" s="149" t="s">
        <v>510</v>
      </c>
      <c r="E4" s="149"/>
    </row>
    <row r="5" spans="1:5">
      <c r="A5" s="1" t="s">
        <v>511</v>
      </c>
      <c r="B5" s="1" t="s">
        <v>512</v>
      </c>
      <c r="C5" s="1" t="s">
        <v>513</v>
      </c>
      <c r="D5" s="1" t="s">
        <v>512</v>
      </c>
    </row>
    <row r="6" spans="1:5">
      <c r="A6" s="149" t="s">
        <v>514</v>
      </c>
      <c r="B6" s="149" t="s">
        <v>515</v>
      </c>
      <c r="C6" s="149" t="s">
        <v>516</v>
      </c>
      <c r="D6" s="149" t="s">
        <v>517</v>
      </c>
      <c r="E6" s="149"/>
    </row>
    <row r="7" spans="1:5">
      <c r="A7" s="1" t="s">
        <v>518</v>
      </c>
      <c r="B7" s="1" t="s">
        <v>519</v>
      </c>
      <c r="C7" s="1" t="s">
        <v>512</v>
      </c>
      <c r="D7" s="1" t="s">
        <v>515</v>
      </c>
      <c r="E7" s="1" t="s">
        <v>520</v>
      </c>
    </row>
    <row r="8" spans="1:5">
      <c r="A8" s="149" t="s">
        <v>521</v>
      </c>
      <c r="B8" s="149" t="s">
        <v>519</v>
      </c>
      <c r="C8" s="149" t="s">
        <v>513</v>
      </c>
      <c r="D8" s="149" t="s">
        <v>512</v>
      </c>
      <c r="E8" s="149"/>
    </row>
    <row r="9" spans="1:5">
      <c r="A9" s="1" t="s">
        <v>522</v>
      </c>
      <c r="B9" s="1" t="s">
        <v>523</v>
      </c>
      <c r="C9" s="1" t="s">
        <v>523</v>
      </c>
      <c r="D9" s="1" t="s">
        <v>523</v>
      </c>
    </row>
    <row r="10" spans="1:5">
      <c r="A10" s="149" t="s">
        <v>524</v>
      </c>
      <c r="B10" s="149" t="s">
        <v>525</v>
      </c>
      <c r="C10" s="149" t="s">
        <v>525</v>
      </c>
      <c r="D10" s="149" t="s">
        <v>525</v>
      </c>
      <c r="E10" s="149"/>
    </row>
  </sheetData>
  <hyperlinks>
    <hyperlink ref="B1" r:id="rId1" xr:uid="{95025462-1D91-4B82-A959-0CBAA23B7B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2025-12-30T08:56:40Z</dcterms:created>
  <dcterms:modified xsi:type="dcterms:W3CDTF">2026-03-04T15:34:01Z</dcterms:modified>
  <cp:category/>
  <cp:contentStatus/>
</cp:coreProperties>
</file>